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mmik Montanov\PycharmProjects\AktSverka\"/>
    </mc:Choice>
  </mc:AlternateContent>
  <xr:revisionPtr revIDLastSave="0" documentId="13_ncr:1_{5DB04208-0B4A-48C2-91C2-9FEAF2F2F1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ранспорт акт сверка" sheetId="1" r:id="rId1"/>
  </sheets>
  <definedNames>
    <definedName name="_xlnm.Print_Area" localSheetId="0">'Транспорт акт сверка'!$A$1:$G$29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D18" i="1"/>
  <c r="E19" i="1" s="1"/>
  <c r="E21" i="1" s="1"/>
  <c r="F19" i="1"/>
  <c r="G18" i="1"/>
  <c r="F18" i="1"/>
  <c r="E18" i="1"/>
  <c r="D15" i="1" l="1"/>
  <c r="E5" i="1"/>
  <c r="C19" i="1" l="1"/>
  <c r="D21" i="1" s="1"/>
  <c r="C11" i="1"/>
  <c r="F15" i="1" l="1"/>
  <c r="F26" i="1" l="1"/>
  <c r="E23" i="1"/>
</calcChain>
</file>

<file path=xl/sharedStrings.xml><?xml version="1.0" encoding="utf-8"?>
<sst xmlns="http://schemas.openxmlformats.org/spreadsheetml/2006/main" count="26" uniqueCount="22">
  <si>
    <t xml:space="preserve">расчёты с контрагентом  </t>
  </si>
  <si>
    <t>ИНН:</t>
  </si>
  <si>
    <t xml:space="preserve">стороны и </t>
  </si>
  <si>
    <t>в лице директора</t>
  </si>
  <si>
    <t>с другой стороны составили настоящий акт сверки взаиморасчётов по состоянию</t>
  </si>
  <si>
    <t>№</t>
  </si>
  <si>
    <t>ДАТА</t>
  </si>
  <si>
    <t>Наименование операции</t>
  </si>
  <si>
    <t>Д-т</t>
  </si>
  <si>
    <t>К-т</t>
  </si>
  <si>
    <t xml:space="preserve">Всего Обороты </t>
  </si>
  <si>
    <t xml:space="preserve">Сальдо на  </t>
  </si>
  <si>
    <t xml:space="preserve">Сальдо на </t>
  </si>
  <si>
    <t>В пользу</t>
  </si>
  <si>
    <t>Директор</t>
  </si>
  <si>
    <t>(подпись)</t>
  </si>
  <si>
    <t xml:space="preserve">                          АКТ   СВЕРКА </t>
  </si>
  <si>
    <t>18.10.2023г</t>
  </si>
  <si>
    <r>
      <t xml:space="preserve">                 Мы.нижеподписавшиеся, </t>
    </r>
    <r>
      <rPr>
        <b/>
        <i/>
        <sz val="12"/>
        <rFont val="Arial Cyr"/>
        <charset val="204"/>
      </rPr>
      <t xml:space="preserve">OOО   «NUR FAYZ REKLAMA» </t>
    </r>
    <r>
      <rPr>
        <i/>
        <sz val="12"/>
        <rFont val="Arial Cyr"/>
        <charset val="204"/>
      </rPr>
      <t xml:space="preserve"> ,в лице Директора   Файзиева Н.С.,с одной</t>
    </r>
  </si>
  <si>
    <t xml:space="preserve">309667279 OOО   «NUR FAYZ REKLAMA» </t>
  </si>
  <si>
    <t xml:space="preserve"> 206958356 "HILTON TRADE" XK</t>
  </si>
  <si>
    <t>Пятнадцать миллионов сўмов 00 тийин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</si>
</sst>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_-* #,##0.00_р_._-;\-* #,##0.00_р_._-;_-* &quot;-&quot;??_р_.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Arial Cyr"/>
      <charset val="204"/>
    </font>
    <font>
      <b/>
      <i/>
      <sz val="12"/>
      <color theme="1"/>
      <name val="Calibri"/>
      <family val="2"/>
      <charset val="204"/>
      <scheme val="minor"/>
    </font>
    <font>
      <b/>
      <i/>
      <sz val="12"/>
      <name val="Arial Cyr"/>
      <charset val="204"/>
    </font>
    <font>
      <i/>
      <sz val="12"/>
      <name val="Arial Cyr"/>
      <charset val="20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676A6C"/>
      <name val="Arial"/>
      <family val="2"/>
      <charset val="204"/>
    </font>
    <font>
      <sz val="12"/>
      <name val="Arial Cyr"/>
      <charset val="204"/>
    </font>
    <font>
      <sz val="12"/>
      <color theme="1"/>
      <name val="Tahoma"/>
      <family val="2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63">
    <xf numFmtId="0" fontId="0" fillId="0" borderId="0" xfId="0"/>
    <xf numFmtId="0" fontId="6" fillId="2" borderId="0" xfId="2" applyFont="1" applyFill="1"/>
    <xf numFmtId="0" fontId="7" fillId="2" borderId="0" xfId="2" applyFont="1" applyFill="1"/>
    <xf numFmtId="0" fontId="8" fillId="2" borderId="0" xfId="2" applyFont="1" applyFill="1" applyAlignment="1">
      <alignment horizontal="center" vertical="center" wrapText="1"/>
    </xf>
    <xf numFmtId="0" fontId="8" fillId="2" borderId="0" xfId="2" applyFont="1" applyFill="1" applyAlignment="1">
      <alignment horizontal="left" vertical="center" wrapText="1"/>
    </xf>
    <xf numFmtId="0" fontId="3" fillId="2" borderId="0" xfId="2" applyFont="1" applyFill="1" applyAlignment="1">
      <alignment horizontal="center"/>
    </xf>
    <xf numFmtId="0" fontId="9" fillId="2" borderId="0" xfId="0" applyFont="1" applyFill="1"/>
    <xf numFmtId="0" fontId="3" fillId="2" borderId="0" xfId="2" applyFont="1" applyFill="1"/>
    <xf numFmtId="0" fontId="9" fillId="0" borderId="0" xfId="0" applyFont="1" applyAlignment="1">
      <alignment wrapText="1"/>
    </xf>
    <xf numFmtId="0" fontId="10" fillId="2" borderId="0" xfId="0" applyFont="1" applyFill="1"/>
    <xf numFmtId="0" fontId="3" fillId="2" borderId="0" xfId="2" applyFont="1" applyFill="1" applyAlignment="1">
      <alignment horizontal="left"/>
    </xf>
    <xf numFmtId="3" fontId="3" fillId="2" borderId="1" xfId="2" applyNumberFormat="1" applyFont="1" applyFill="1" applyBorder="1" applyAlignment="1">
      <alignment horizontal="left"/>
    </xf>
    <xf numFmtId="3" fontId="3" fillId="2" borderId="1" xfId="2" applyNumberFormat="1" applyFont="1" applyFill="1" applyBorder="1" applyAlignment="1">
      <alignment horizontal="center"/>
    </xf>
    <xf numFmtId="0" fontId="11" fillId="2" borderId="0" xfId="2" applyFont="1" applyFill="1"/>
    <xf numFmtId="0" fontId="8" fillId="2" borderId="0" xfId="2" applyFont="1" applyFill="1"/>
    <xf numFmtId="0" fontId="8" fillId="2" borderId="2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vertical="center"/>
    </xf>
    <xf numFmtId="0" fontId="12" fillId="2" borderId="2" xfId="2" applyFont="1" applyFill="1" applyBorder="1" applyAlignment="1">
      <alignment vertical="center" wrapText="1"/>
    </xf>
    <xf numFmtId="4" fontId="13" fillId="2" borderId="2" xfId="2" applyNumberFormat="1" applyFont="1" applyFill="1" applyBorder="1" applyAlignment="1">
      <alignment horizontal="right" vertical="center" wrapText="1"/>
    </xf>
    <xf numFmtId="43" fontId="13" fillId="0" borderId="2" xfId="1" applyFont="1" applyBorder="1" applyAlignment="1">
      <alignment horizontal="right" vertical="center"/>
    </xf>
    <xf numFmtId="0" fontId="9" fillId="2" borderId="9" xfId="0" applyFont="1" applyFill="1" applyBorder="1"/>
    <xf numFmtId="164" fontId="14" fillId="2" borderId="12" xfId="3" applyFont="1" applyFill="1" applyBorder="1" applyAlignment="1"/>
    <xf numFmtId="0" fontId="15" fillId="2" borderId="10" xfId="2" applyFont="1" applyFill="1" applyBorder="1"/>
    <xf numFmtId="0" fontId="15" fillId="2" borderId="11" xfId="2" applyFont="1" applyFill="1" applyBorder="1" applyAlignment="1">
      <alignment horizontal="center"/>
    </xf>
    <xf numFmtId="165" fontId="14" fillId="2" borderId="12" xfId="2" applyNumberFormat="1" applyFont="1" applyFill="1" applyBorder="1" applyAlignment="1">
      <alignment vertical="center"/>
    </xf>
    <xf numFmtId="164" fontId="14" fillId="2" borderId="12" xfId="3" applyFont="1" applyFill="1" applyBorder="1" applyAlignment="1">
      <alignment horizontal="right" vertical="center"/>
    </xf>
    <xf numFmtId="165" fontId="14" fillId="2" borderId="13" xfId="2" applyNumberFormat="1" applyFont="1" applyFill="1" applyBorder="1" applyAlignment="1">
      <alignment horizontal="right" vertical="center"/>
    </xf>
    <xf numFmtId="164" fontId="16" fillId="2" borderId="8" xfId="2" applyNumberFormat="1" applyFont="1" applyFill="1" applyBorder="1" applyAlignment="1">
      <alignment horizontal="right" vertical="center"/>
    </xf>
    <xf numFmtId="43" fontId="8" fillId="2" borderId="0" xfId="1" applyFont="1" applyFill="1" applyAlignment="1">
      <alignment vertical="center" wrapText="1"/>
    </xf>
    <xf numFmtId="43" fontId="8" fillId="2" borderId="0" xfId="1" applyFont="1" applyFill="1" applyAlignment="1">
      <alignment horizontal="right" vertical="center" wrapText="1"/>
    </xf>
    <xf numFmtId="43" fontId="8" fillId="2" borderId="0" xfId="1" applyFont="1" applyFill="1" applyAlignment="1">
      <alignment horizontal="center" vertical="center" wrapText="1"/>
    </xf>
    <xf numFmtId="0" fontId="8" fillId="2" borderId="0" xfId="2" applyFont="1" applyFill="1" applyAlignment="1">
      <alignment vertical="center" wrapText="1"/>
    </xf>
    <xf numFmtId="43" fontId="7" fillId="2" borderId="0" xfId="1" applyFont="1" applyFill="1" applyAlignment="1">
      <alignment horizontal="center" vertical="center" wrapText="1"/>
    </xf>
    <xf numFmtId="0" fontId="7" fillId="2" borderId="0" xfId="0" applyFont="1" applyFill="1"/>
    <xf numFmtId="0" fontId="17" fillId="0" borderId="0" xfId="0" applyFont="1" applyProtection="1">
      <protection locked="0"/>
    </xf>
    <xf numFmtId="43" fontId="8" fillId="2" borderId="0" xfId="1" applyFont="1" applyFill="1" applyAlignment="1">
      <alignment vertical="center"/>
    </xf>
    <xf numFmtId="0" fontId="11" fillId="2" borderId="0" xfId="2" applyFont="1" applyFill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6" fillId="2" borderId="0" xfId="2" applyFont="1" applyFill="1" applyAlignment="1">
      <alignment horizontal="left"/>
    </xf>
    <xf numFmtId="0" fontId="3" fillId="2" borderId="0" xfId="2" applyFont="1" applyFill="1" applyAlignment="1">
      <alignment horizontal="center"/>
    </xf>
    <xf numFmtId="0" fontId="3" fillId="2" borderId="0" xfId="2" applyFont="1" applyFill="1" applyAlignment="1">
      <alignment horizontal="right"/>
    </xf>
    <xf numFmtId="0" fontId="3" fillId="2" borderId="0" xfId="2" applyFont="1" applyFill="1" applyAlignment="1">
      <alignment horizontal="left"/>
    </xf>
    <xf numFmtId="0" fontId="4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/>
    </xf>
    <xf numFmtId="0" fontId="7" fillId="2" borderId="0" xfId="2" applyFont="1" applyFill="1" applyAlignment="1">
      <alignment horizontal="center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center" vertical="center" wrapText="1"/>
    </xf>
    <xf numFmtId="0" fontId="8" fillId="2" borderId="6" xfId="2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3" fillId="2" borderId="10" xfId="2" applyFont="1" applyFill="1" applyBorder="1" applyAlignment="1">
      <alignment horizontal="left"/>
    </xf>
    <xf numFmtId="0" fontId="3" fillId="2" borderId="11" xfId="2" applyFont="1" applyFill="1" applyBorder="1" applyAlignment="1">
      <alignment horizontal="left"/>
    </xf>
    <xf numFmtId="43" fontId="8" fillId="2" borderId="0" xfId="1" applyFont="1" applyFill="1" applyAlignment="1">
      <alignment horizontal="center" vertical="center" wrapText="1"/>
    </xf>
    <xf numFmtId="0" fontId="8" fillId="2" borderId="0" xfId="2" applyFont="1" applyFill="1" applyAlignment="1">
      <alignment horizontal="center" vertical="center" wrapText="1"/>
    </xf>
    <xf numFmtId="0" fontId="8" fillId="2" borderId="0" xfId="2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/>
    </xf>
    <xf numFmtId="0" fontId="7" fillId="2" borderId="0" xfId="2" applyFont="1" applyFill="1" applyAlignment="1">
      <alignment horizontal="center" vertical="center"/>
    </xf>
  </cellXfs>
  <cellStyles count="4">
    <cellStyle name="Обычный" xfId="0" builtinId="0"/>
    <cellStyle name="Обычный 2" xfId="2" xr:uid="{00000000-0005-0000-0000-000001000000}"/>
    <cellStyle name="Финансовый" xfId="1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2" zoomScale="106" zoomScaleNormal="100" workbookViewId="0">
      <selection activeCell="G23" sqref="G23"/>
    </sheetView>
  </sheetViews>
  <sheetFormatPr defaultRowHeight="15.75" x14ac:dyDescent="0.25"/>
  <cols>
    <col min="1" max="1" width="14" style="6" customWidth="1"/>
    <col min="2" max="2" width="17.5703125" style="6" customWidth="1"/>
    <col min="3" max="3" width="28.42578125" style="6" customWidth="1"/>
    <col min="4" max="4" width="28.28515625" style="6" customWidth="1"/>
    <col min="5" max="5" width="28.5703125" style="6" customWidth="1"/>
    <col min="6" max="6" width="27" style="6" customWidth="1"/>
    <col min="7" max="7" width="27.7109375" style="6" customWidth="1"/>
    <col min="8" max="8" width="9.140625" style="6"/>
    <col min="9" max="9" width="22.5703125" style="6" customWidth="1"/>
    <col min="10" max="16384" width="9.140625" style="6"/>
  </cols>
  <sheetData>
    <row r="1" spans="1:11" x14ac:dyDescent="0.25">
      <c r="B1" s="41" t="s">
        <v>16</v>
      </c>
      <c r="C1" s="41"/>
      <c r="D1" s="41"/>
      <c r="E1" s="41"/>
      <c r="F1" s="41"/>
      <c r="G1" s="2"/>
      <c r="H1" s="2"/>
      <c r="I1" s="2"/>
      <c r="J1" s="2"/>
      <c r="K1" s="2"/>
    </row>
    <row r="2" spans="1:11" x14ac:dyDescent="0.25">
      <c r="B2" s="42" t="s">
        <v>0</v>
      </c>
      <c r="C2" s="42"/>
      <c r="D2" s="42"/>
      <c r="E2" s="43" t="s">
        <v>20</v>
      </c>
      <c r="F2" s="43"/>
      <c r="G2" s="7"/>
      <c r="H2" s="2"/>
      <c r="I2" s="2"/>
      <c r="J2" s="2"/>
      <c r="K2" s="2"/>
    </row>
    <row r="3" spans="1:11" x14ac:dyDescent="0.25">
      <c r="B3" s="5"/>
      <c r="C3" s="41"/>
      <c r="D3" s="41"/>
      <c r="E3" s="41"/>
      <c r="F3" s="41"/>
      <c r="G3" s="8"/>
      <c r="H3" s="2"/>
      <c r="I3" s="36"/>
      <c r="J3" s="2"/>
      <c r="K3" s="2"/>
    </row>
    <row r="4" spans="1:11" x14ac:dyDescent="0.25">
      <c r="B4" s="5"/>
      <c r="C4" s="5"/>
      <c r="D4" s="5"/>
      <c r="E4" s="9"/>
      <c r="F4" s="8"/>
      <c r="G4" s="5"/>
      <c r="H4" s="2"/>
      <c r="I4" s="2"/>
      <c r="J4" s="2"/>
      <c r="K4" s="2"/>
    </row>
    <row r="5" spans="1:11" x14ac:dyDescent="0.25">
      <c r="B5" s="44" t="s">
        <v>19</v>
      </c>
      <c r="C5" s="44"/>
      <c r="D5" s="5"/>
      <c r="E5" s="45" t="str">
        <f>E2</f>
        <v xml:space="preserve"> 206958356 "HILTON TRADE" XK</v>
      </c>
      <c r="F5" s="45"/>
      <c r="G5" s="45"/>
      <c r="H5" s="2"/>
      <c r="I5" s="2"/>
      <c r="J5" s="2"/>
      <c r="K5" s="2"/>
    </row>
    <row r="6" spans="1:11" ht="15" customHeight="1" x14ac:dyDescent="0.25">
      <c r="B6" s="5"/>
      <c r="C6" s="5"/>
      <c r="D6" s="5"/>
      <c r="E6" s="5"/>
      <c r="F6" s="5"/>
      <c r="G6" s="5"/>
      <c r="H6" s="2"/>
      <c r="I6" s="2"/>
      <c r="J6" s="2"/>
      <c r="K6" s="2"/>
    </row>
    <row r="7" spans="1:11" x14ac:dyDescent="0.25">
      <c r="B7" s="10" t="s">
        <v>1</v>
      </c>
      <c r="C7" s="11">
        <v>309667279</v>
      </c>
      <c r="D7" s="5"/>
      <c r="E7" s="10" t="s">
        <v>1</v>
      </c>
      <c r="F7" s="12">
        <v>302762364</v>
      </c>
      <c r="G7" s="13"/>
      <c r="H7" s="2"/>
      <c r="I7" s="2"/>
      <c r="J7" s="2"/>
      <c r="K7" s="2"/>
    </row>
    <row r="8" spans="1:11" x14ac:dyDescent="0.25">
      <c r="B8" s="13"/>
      <c r="C8" s="2"/>
      <c r="D8" s="2"/>
      <c r="E8" s="2"/>
      <c r="F8" s="38"/>
      <c r="G8" s="38"/>
      <c r="H8" s="2"/>
      <c r="I8" s="2"/>
      <c r="J8" s="2"/>
      <c r="K8" s="2"/>
    </row>
    <row r="10" spans="1:11" x14ac:dyDescent="0.25">
      <c r="B10" s="1" t="s">
        <v>18</v>
      </c>
      <c r="C10" s="1"/>
      <c r="D10" s="1"/>
      <c r="E10" s="1"/>
      <c r="F10" s="1"/>
      <c r="G10" s="2"/>
      <c r="H10" s="2"/>
      <c r="I10" s="2"/>
      <c r="J10" s="2"/>
      <c r="K10" s="2"/>
    </row>
    <row r="11" spans="1:11" x14ac:dyDescent="0.25">
      <c r="B11" s="1" t="s">
        <v>2</v>
      </c>
      <c r="C11" s="39" t="str">
        <f>E5</f>
        <v xml:space="preserve"> 206958356 "HILTON TRADE" XK</v>
      </c>
      <c r="D11" s="39"/>
      <c r="E11" s="1" t="s">
        <v>3</v>
      </c>
      <c r="F11" s="1"/>
      <c r="G11" s="2"/>
      <c r="H11" s="2"/>
      <c r="I11" s="2"/>
      <c r="J11" s="2"/>
      <c r="K11" s="2"/>
    </row>
    <row r="12" spans="1:11" x14ac:dyDescent="0.25">
      <c r="B12" s="40" t="s">
        <v>4</v>
      </c>
      <c r="C12" s="40"/>
      <c r="D12" s="40"/>
      <c r="E12" s="40"/>
      <c r="F12" s="40" t="s">
        <v>17</v>
      </c>
      <c r="G12" s="40"/>
      <c r="H12" s="2"/>
      <c r="I12" s="1"/>
      <c r="J12" s="2"/>
      <c r="K12" s="2"/>
    </row>
    <row r="13" spans="1:11" x14ac:dyDescent="0.25">
      <c r="B13" s="46"/>
      <c r="C13" s="46"/>
      <c r="D13" s="46"/>
      <c r="E13" s="46"/>
      <c r="F13" s="46"/>
      <c r="G13" s="46"/>
      <c r="H13" s="2"/>
      <c r="I13" s="1"/>
      <c r="J13" s="1"/>
      <c r="K13" s="1"/>
    </row>
    <row r="14" spans="1:11" x14ac:dyDescent="0.25">
      <c r="B14" s="14"/>
      <c r="C14" s="14"/>
      <c r="D14" s="14"/>
      <c r="E14" s="14"/>
      <c r="F14" s="45"/>
      <c r="G14" s="45"/>
      <c r="H14" s="45"/>
      <c r="I14" s="2"/>
      <c r="J14" s="2"/>
      <c r="K14" s="2"/>
    </row>
    <row r="15" spans="1:11" x14ac:dyDescent="0.25">
      <c r="A15" s="47" t="s">
        <v>5</v>
      </c>
      <c r="B15" s="48" t="s">
        <v>6</v>
      </c>
      <c r="C15" s="50" t="s">
        <v>7</v>
      </c>
      <c r="D15" s="52" t="str">
        <f>B5</f>
        <v xml:space="preserve">309667279 OOО   «NUR FAYZ REKLAMA» </v>
      </c>
      <c r="E15" s="52"/>
      <c r="F15" s="53" t="str">
        <f>E5</f>
        <v xml:space="preserve"> 206958356 "HILTON TRADE" XK</v>
      </c>
      <c r="G15" s="54"/>
      <c r="H15" s="2"/>
      <c r="I15" s="2"/>
      <c r="J15" s="2"/>
      <c r="K15" s="2"/>
    </row>
    <row r="16" spans="1:11" x14ac:dyDescent="0.25">
      <c r="A16" s="47"/>
      <c r="B16" s="49"/>
      <c r="C16" s="51"/>
      <c r="D16" s="15" t="s">
        <v>8</v>
      </c>
      <c r="E16" s="15" t="s">
        <v>9</v>
      </c>
      <c r="F16" s="15" t="s">
        <v>8</v>
      </c>
      <c r="G16" s="15" t="s">
        <v>9</v>
      </c>
      <c r="H16" s="16"/>
      <c r="I16" s="16"/>
      <c r="J16" s="16"/>
      <c r="K16" s="16"/>
    </row>
    <row r="17" spans="1:11" ht="16.5" thickBot="1" x14ac:dyDescent="0.3">
      <c r="A17" s="17"/>
      <c r="B17" s="18"/>
      <c r="C17" s="19"/>
      <c r="D17" s="20"/>
      <c r="E17" s="21"/>
      <c r="F17" s="20"/>
      <c r="G17" s="20"/>
      <c r="H17" s="62"/>
      <c r="I17" s="16"/>
      <c r="J17" s="16"/>
      <c r="K17" s="16"/>
    </row>
    <row r="18" spans="1:11" ht="16.5" thickBot="1" x14ac:dyDescent="0.3">
      <c r="A18" s="22"/>
      <c r="B18" s="56" t="s">
        <v>10</v>
      </c>
      <c r="C18" s="57"/>
      <c r="D18" s="23">
        <f>SUM(D17:D17)</f>
        <v>0</v>
      </c>
      <c r="E18" s="23">
        <f>SUM(E17:E17)</f>
        <v>0</v>
      </c>
      <c r="F18" s="23">
        <f>SUM(F17:F17)</f>
        <v>0</v>
      </c>
      <c r="G18" s="23">
        <f>SUM(G17:G17)</f>
        <v>0</v>
      </c>
      <c r="H18" s="16"/>
      <c r="I18" s="16"/>
      <c r="J18" s="16"/>
      <c r="K18" s="16"/>
    </row>
    <row r="19" spans="1:11" ht="16.5" thickBot="1" x14ac:dyDescent="0.3">
      <c r="A19" s="22"/>
      <c r="B19" s="24" t="s">
        <v>11</v>
      </c>
      <c r="C19" s="25" t="str">
        <f>F12</f>
        <v>18.10.2023г</v>
      </c>
      <c r="D19" s="26"/>
      <c r="E19" s="27">
        <f>D18-E18</f>
        <v>0</v>
      </c>
      <c r="F19" s="28">
        <f>F18-G18</f>
        <v>0</v>
      </c>
      <c r="G19" s="29"/>
      <c r="H19" s="16"/>
      <c r="I19" s="16"/>
      <c r="J19" s="16"/>
      <c r="K19" s="16"/>
    </row>
    <row r="20" spans="1:11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x14ac:dyDescent="0.25">
      <c r="B21" s="30"/>
      <c r="C21" s="31" t="s">
        <v>12</v>
      </c>
      <c r="D21" s="30" t="str">
        <f>C19</f>
        <v>18.10.2023г</v>
      </c>
      <c r="E21" s="30">
        <f>E19</f>
        <v>0</v>
      </c>
      <c r="F21" s="37" t="s">
        <v>21</v>
      </c>
      <c r="G21" s="37"/>
      <c r="H21" s="16"/>
      <c r="I21" s="58"/>
      <c r="J21" s="58"/>
      <c r="K21" s="58"/>
    </row>
    <row r="22" spans="1:11" x14ac:dyDescent="0.25">
      <c r="B22" s="30"/>
      <c r="C22" s="31"/>
      <c r="D22" s="30"/>
      <c r="E22" s="58"/>
      <c r="F22" s="58"/>
      <c r="G22" s="58"/>
      <c r="H22" s="16"/>
      <c r="I22" s="32"/>
      <c r="J22" s="32"/>
      <c r="K22" s="32"/>
    </row>
    <row r="23" spans="1:11" x14ac:dyDescent="0.25">
      <c r="B23" s="33"/>
      <c r="C23" s="33"/>
      <c r="D23" s="33" t="s">
        <v>13</v>
      </c>
      <c r="E23" s="59" t="str">
        <f>F15</f>
        <v xml:space="preserve"> 206958356 "HILTON TRADE" XK</v>
      </c>
      <c r="F23" s="59"/>
      <c r="G23" s="33"/>
      <c r="H23" s="16"/>
      <c r="I23" s="34"/>
      <c r="J23" s="16"/>
      <c r="K23" s="16"/>
    </row>
    <row r="24" spans="1:11" x14ac:dyDescent="0.25"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x14ac:dyDescent="0.25">
      <c r="B26" s="59" t="str">
        <f>B5</f>
        <v xml:space="preserve">309667279 OOО   «NUR FAYZ REKLAMA» </v>
      </c>
      <c r="C26" s="59"/>
      <c r="D26" s="16"/>
      <c r="E26" s="3" t="s">
        <v>14</v>
      </c>
      <c r="F26" s="60" t="str">
        <f>F15</f>
        <v xml:space="preserve"> 206958356 "HILTON TRADE" XK</v>
      </c>
      <c r="G26" s="60"/>
      <c r="H26" s="16"/>
      <c r="I26" s="16"/>
      <c r="J26" s="16"/>
      <c r="K26" s="16"/>
    </row>
    <row r="27" spans="1:11" x14ac:dyDescent="0.25">
      <c r="B27" s="3"/>
      <c r="C27" s="3"/>
      <c r="D27" s="16"/>
      <c r="E27" s="3"/>
      <c r="F27" s="4"/>
      <c r="G27" s="4"/>
      <c r="H27" s="16"/>
      <c r="I27" s="16"/>
      <c r="J27" s="16"/>
      <c r="K27" s="16"/>
    </row>
    <row r="28" spans="1:11" x14ac:dyDescent="0.25">
      <c r="B28" s="61"/>
      <c r="C28" s="61"/>
      <c r="D28" s="35"/>
      <c r="E28" s="61"/>
      <c r="F28" s="61"/>
      <c r="G28" s="61"/>
    </row>
    <row r="29" spans="1:11" x14ac:dyDescent="0.25">
      <c r="B29" s="55" t="s">
        <v>15</v>
      </c>
      <c r="C29" s="55"/>
      <c r="F29" s="55" t="s">
        <v>15</v>
      </c>
      <c r="G29" s="55"/>
    </row>
  </sheetData>
  <protectedRanges>
    <protectedRange sqref="G3 F4" name="Диапазон1_4"/>
  </protectedRanges>
  <mergeCells count="27">
    <mergeCell ref="B29:C29"/>
    <mergeCell ref="F29:G29"/>
    <mergeCell ref="B18:C18"/>
    <mergeCell ref="I21:K21"/>
    <mergeCell ref="E23:F23"/>
    <mergeCell ref="B26:C26"/>
    <mergeCell ref="F26:G26"/>
    <mergeCell ref="B28:C28"/>
    <mergeCell ref="E28:G28"/>
    <mergeCell ref="E22:G22"/>
    <mergeCell ref="B13:G13"/>
    <mergeCell ref="F14:H14"/>
    <mergeCell ref="A15:A16"/>
    <mergeCell ref="B15:B16"/>
    <mergeCell ref="C15:C16"/>
    <mergeCell ref="D15:E15"/>
    <mergeCell ref="F15:G15"/>
    <mergeCell ref="F8:G8"/>
    <mergeCell ref="C11:D11"/>
    <mergeCell ref="B12:E12"/>
    <mergeCell ref="F12:G12"/>
    <mergeCell ref="B1:F1"/>
    <mergeCell ref="B2:D2"/>
    <mergeCell ref="E2:F2"/>
    <mergeCell ref="C3:F3"/>
    <mergeCell ref="B5:C5"/>
    <mergeCell ref="E5:G5"/>
  </mergeCells>
  <pageMargins left="0.23622047244094491" right="0.23622047244094491" top="0.74803149606299213" bottom="0.74803149606299213" header="0.31496062992125984" footer="0.31496062992125984"/>
  <pageSetup paperSize="9" scale="5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Транспорт акт сверка</vt:lpstr>
      <vt:lpstr>'Транспорт акт сверка'!Область_печати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Tommik Montanov</cp:lastModifiedBy>
  <cp:lastPrinted>2023-10-18T09:55:33Z</cp:lastPrinted>
  <dcterms:created xsi:type="dcterms:W3CDTF">2023-09-29T11:51:14Z</dcterms:created>
  <dcterms:modified xsi:type="dcterms:W3CDTF">2026-02-11T12:01:01Z</dcterms:modified>
</cp:coreProperties>
</file>