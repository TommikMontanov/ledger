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mik Montanov\PycharmProjects\SvodkaPoSchetam\"/>
    </mc:Choice>
  </mc:AlternateContent>
  <xr:revisionPtr revIDLastSave="0" documentId="13_ncr:1_{C67E0BD0-E0E6-42BA-9419-F0E0B53878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" l="1"/>
  <c r="I42" i="1"/>
  <c r="K42" i="1" s="1"/>
  <c r="P41" i="1"/>
  <c r="I41" i="1"/>
  <c r="K41" i="1" s="1"/>
  <c r="P40" i="1"/>
  <c r="I40" i="1"/>
  <c r="K40" i="1" s="1"/>
  <c r="P39" i="1"/>
  <c r="K39" i="1"/>
  <c r="I39" i="1"/>
  <c r="P38" i="1"/>
  <c r="I38" i="1"/>
  <c r="K38" i="1" s="1"/>
  <c r="P37" i="1"/>
  <c r="I37" i="1"/>
  <c r="K37" i="1" s="1"/>
  <c r="P36" i="1"/>
  <c r="I36" i="1"/>
  <c r="K36" i="1" s="1"/>
  <c r="P35" i="1"/>
  <c r="I35" i="1"/>
  <c r="K35" i="1" s="1"/>
  <c r="P34" i="1"/>
  <c r="I34" i="1"/>
  <c r="K34" i="1" s="1"/>
  <c r="P33" i="1"/>
  <c r="I33" i="1"/>
  <c r="K33" i="1" s="1"/>
  <c r="P32" i="1"/>
  <c r="I32" i="1"/>
  <c r="K32" i="1" s="1"/>
  <c r="P31" i="1"/>
  <c r="I31" i="1"/>
  <c r="K31" i="1" s="1"/>
  <c r="P30" i="1"/>
  <c r="I30" i="1"/>
  <c r="K30" i="1" s="1"/>
  <c r="P29" i="1"/>
  <c r="I29" i="1"/>
  <c r="K29" i="1" s="1"/>
  <c r="P28" i="1"/>
  <c r="I28" i="1"/>
  <c r="K28" i="1" s="1"/>
  <c r="R41" i="1" l="1"/>
  <c r="Q41" i="1"/>
  <c r="D43" i="1"/>
  <c r="R39" i="1"/>
  <c r="C43" i="1"/>
  <c r="R40" i="1"/>
  <c r="Q40" i="1"/>
  <c r="Q42" i="1"/>
  <c r="R42" i="1"/>
  <c r="Q39" i="1"/>
  <c r="R29" i="1"/>
  <c r="R37" i="1"/>
  <c r="R33" i="1"/>
  <c r="Q31" i="1"/>
  <c r="R31" i="1"/>
  <c r="Q28" i="1"/>
  <c r="R28" i="1"/>
  <c r="R38" i="1"/>
  <c r="Q38" i="1"/>
  <c r="R30" i="1"/>
  <c r="Q30" i="1"/>
  <c r="R35" i="1"/>
  <c r="Q35" i="1"/>
  <c r="R32" i="1"/>
  <c r="Q32" i="1"/>
  <c r="R36" i="1"/>
  <c r="Q36" i="1"/>
  <c r="Q34" i="1"/>
  <c r="R34" i="1"/>
  <c r="Q33" i="1"/>
  <c r="Q29" i="1"/>
  <c r="Q37" i="1"/>
  <c r="I4" i="1" l="1"/>
  <c r="K4" i="1" s="1"/>
  <c r="P4" i="1"/>
  <c r="I5" i="1"/>
  <c r="K5" i="1" s="1"/>
  <c r="P5" i="1"/>
  <c r="I6" i="1"/>
  <c r="K6" i="1" s="1"/>
  <c r="P6" i="1"/>
  <c r="I7" i="1"/>
  <c r="K7" i="1" s="1"/>
  <c r="P7" i="1"/>
  <c r="I8" i="1"/>
  <c r="K8" i="1" s="1"/>
  <c r="P8" i="1"/>
  <c r="I9" i="1"/>
  <c r="K9" i="1" s="1"/>
  <c r="P9" i="1"/>
  <c r="I10" i="1"/>
  <c r="K10" i="1" s="1"/>
  <c r="P10" i="1"/>
  <c r="I11" i="1"/>
  <c r="K11" i="1" s="1"/>
  <c r="P11" i="1"/>
  <c r="I12" i="1"/>
  <c r="K12" i="1" s="1"/>
  <c r="P12" i="1"/>
  <c r="I13" i="1"/>
  <c r="K13" i="1" s="1"/>
  <c r="P13" i="1"/>
  <c r="I14" i="1"/>
  <c r="K14" i="1" s="1"/>
  <c r="P14" i="1"/>
  <c r="I15" i="1"/>
  <c r="K15" i="1" s="1"/>
  <c r="P15" i="1"/>
  <c r="I16" i="1"/>
  <c r="K16" i="1" s="1"/>
  <c r="P16" i="1"/>
  <c r="I17" i="1"/>
  <c r="K17" i="1" s="1"/>
  <c r="P17" i="1"/>
  <c r="I18" i="1"/>
  <c r="K18" i="1" s="1"/>
  <c r="P18" i="1"/>
  <c r="I19" i="1"/>
  <c r="K19" i="1" s="1"/>
  <c r="P19" i="1"/>
  <c r="I20" i="1"/>
  <c r="K20" i="1" s="1"/>
  <c r="P20" i="1"/>
  <c r="I21" i="1"/>
  <c r="K21" i="1" s="1"/>
  <c r="P21" i="1"/>
  <c r="I22" i="1"/>
  <c r="K22" i="1" s="1"/>
  <c r="P22" i="1"/>
  <c r="I23" i="1"/>
  <c r="K23" i="1" s="1"/>
  <c r="P23" i="1"/>
  <c r="I24" i="1"/>
  <c r="K24" i="1" s="1"/>
  <c r="P24" i="1"/>
  <c r="I25" i="1"/>
  <c r="K25" i="1" s="1"/>
  <c r="P25" i="1"/>
  <c r="I26" i="1"/>
  <c r="K26" i="1" s="1"/>
  <c r="P26" i="1"/>
  <c r="I27" i="1"/>
  <c r="K27" i="1" s="1"/>
  <c r="P27" i="1"/>
  <c r="R7" i="1" l="1"/>
  <c r="Q4" i="1"/>
  <c r="R26" i="1"/>
  <c r="Q21" i="1"/>
  <c r="Q23" i="1"/>
  <c r="Q7" i="1"/>
  <c r="Q10" i="1"/>
  <c r="R10" i="1"/>
  <c r="Q17" i="1"/>
  <c r="Q6" i="1"/>
  <c r="Q20" i="1"/>
  <c r="R23" i="1"/>
  <c r="Q5" i="1"/>
  <c r="Q9" i="1"/>
  <c r="Q13" i="1"/>
  <c r="Q25" i="1"/>
  <c r="R11" i="1"/>
  <c r="Q11" i="1"/>
  <c r="R15" i="1"/>
  <c r="Q15" i="1"/>
  <c r="Q12" i="1"/>
  <c r="R12" i="1"/>
  <c r="Q8" i="1"/>
  <c r="R8" i="1"/>
  <c r="R19" i="1"/>
  <c r="Q19" i="1"/>
  <c r="R18" i="1"/>
  <c r="Q18" i="1"/>
  <c r="Q24" i="1"/>
  <c r="R24" i="1"/>
  <c r="Q16" i="1"/>
  <c r="R16" i="1"/>
  <c r="R22" i="1"/>
  <c r="Q22" i="1"/>
  <c r="R14" i="1"/>
  <c r="Q14" i="1"/>
  <c r="R27" i="1"/>
  <c r="Q27" i="1"/>
  <c r="R6" i="1"/>
  <c r="Q26" i="1"/>
  <c r="R25" i="1"/>
  <c r="R21" i="1"/>
  <c r="R17" i="1"/>
  <c r="R13" i="1"/>
  <c r="R9" i="1"/>
  <c r="R5" i="1"/>
  <c r="R4" i="1"/>
  <c r="R20" i="1"/>
  <c r="R45" i="1" l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O43" i="1"/>
  <c r="N43" i="1"/>
  <c r="M43" i="1"/>
  <c r="L43" i="1"/>
  <c r="J43" i="1"/>
  <c r="H43" i="1"/>
  <c r="G43" i="1"/>
  <c r="F43" i="1"/>
  <c r="E43" i="1"/>
  <c r="M3" i="1"/>
  <c r="L3" i="1"/>
  <c r="D2" i="1"/>
  <c r="R2" i="1" s="1"/>
  <c r="C2" i="1"/>
  <c r="R1" i="1"/>
  <c r="Q1" i="1"/>
  <c r="O1" i="1"/>
  <c r="D1" i="1"/>
  <c r="B1" i="1"/>
  <c r="P43" i="1" l="1"/>
  <c r="I43" i="1"/>
  <c r="R43" i="1" l="1"/>
  <c r="Q43" i="1"/>
  <c r="K43" i="1"/>
  <c r="R44" i="1" l="1"/>
</calcChain>
</file>

<file path=xl/sharedStrings.xml><?xml version="1.0" encoding="utf-8"?>
<sst xmlns="http://schemas.openxmlformats.org/spreadsheetml/2006/main" count="19" uniqueCount="17">
  <si>
    <t>Сводка по счёту</t>
  </si>
  <si>
    <t>По</t>
  </si>
  <si>
    <t>За</t>
  </si>
  <si>
    <t>месяца</t>
  </si>
  <si>
    <t>счет</t>
  </si>
  <si>
    <t>Наименование</t>
  </si>
  <si>
    <t>За что</t>
  </si>
  <si>
    <t>Кредит</t>
  </si>
  <si>
    <t>Всего Приход</t>
  </si>
  <si>
    <t>Дебет</t>
  </si>
  <si>
    <t>Всего Расход</t>
  </si>
  <si>
    <t>0820.</t>
  </si>
  <si>
    <t>дебет</t>
  </si>
  <si>
    <t>кредит</t>
  </si>
  <si>
    <t>ИТОГО:</t>
  </si>
  <si>
    <t>Декабрь</t>
  </si>
  <si>
    <t>Сальдо на 01.12.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</si>
</sst>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\ _₽_-;\-* #,##0.0\ _₽_-;_-* &quot;-&quot;??\ _₽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name val="Arial Cyr"/>
      <charset val="204"/>
    </font>
    <font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name val="Arial Cyr"/>
      <charset val="204"/>
    </font>
    <font>
      <sz val="8"/>
      <name val="Arial Cyr"/>
      <charset val="204"/>
    </font>
    <font>
      <sz val="11"/>
      <name val="Calibri"/>
      <family val="2"/>
      <charset val="204"/>
      <scheme val="minor"/>
    </font>
    <font>
      <b/>
      <u/>
      <sz val="12"/>
      <name val="Arial Cyr"/>
      <charset val="204"/>
    </font>
    <font>
      <b/>
      <sz val="12"/>
      <name val="Arial Cyr"/>
      <charset val="204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59">
    <xf numFmtId="0" fontId="0" fillId="0" borderId="0" xfId="0"/>
    <xf numFmtId="0" fontId="3" fillId="2" borderId="2" xfId="2" applyFont="1" applyFill="1" applyBorder="1" applyAlignment="1">
      <alignment horizontal="center" vertical="center" wrapText="1"/>
    </xf>
    <xf numFmtId="9" fontId="3" fillId="2" borderId="3" xfId="2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/>
    </xf>
    <xf numFmtId="0" fontId="9" fillId="2" borderId="0" xfId="2" applyFont="1" applyFill="1" applyAlignment="1">
      <alignment horizontal="right"/>
    </xf>
    <xf numFmtId="0" fontId="9" fillId="0" borderId="0" xfId="2" applyFont="1" applyAlignment="1">
      <alignment horizontal="center"/>
    </xf>
    <xf numFmtId="0" fontId="9" fillId="2" borderId="0" xfId="2" applyFont="1" applyFill="1"/>
    <xf numFmtId="0" fontId="9" fillId="2" borderId="0" xfId="2" applyFont="1" applyFill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0" xfId="2" applyFont="1" applyFill="1"/>
    <xf numFmtId="0" fontId="6" fillId="2" borderId="0" xfId="2" applyFont="1" applyFill="1"/>
    <xf numFmtId="0" fontId="11" fillId="2" borderId="0" xfId="0" applyFont="1" applyFill="1"/>
    <xf numFmtId="0" fontId="6" fillId="2" borderId="2" xfId="2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6" fillId="2" borderId="11" xfId="1" applyNumberFormat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12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10" fillId="2" borderId="13" xfId="2" applyFont="1" applyFill="1" applyBorder="1"/>
    <xf numFmtId="0" fontId="6" fillId="2" borderId="13" xfId="2" applyFont="1" applyFill="1" applyBorder="1"/>
    <xf numFmtId="164" fontId="10" fillId="2" borderId="13" xfId="1" applyNumberFormat="1" applyFont="1" applyFill="1" applyBorder="1" applyAlignment="1">
      <alignment horizontal="center" vertical="center"/>
    </xf>
    <xf numFmtId="164" fontId="10" fillId="2" borderId="0" xfId="1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43" fontId="6" fillId="2" borderId="7" xfId="1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6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vertical="center" wrapText="1"/>
    </xf>
    <xf numFmtId="43" fontId="6" fillId="2" borderId="2" xfId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/>
    </xf>
    <xf numFmtId="0" fontId="6" fillId="2" borderId="5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1044;&#1054;&#1050;&#1059;&#1052;&#1045;&#1053;&#1058;&#1067;%20&#1060;&#1048;&#1056;&#1052;%202025.&#1043;&#1086;&#1076;\&#1060;&#1040;&#1050;&#1058;&#1048;&#1063;.&#1053;&#1059;&#1056;%20&#1060;&#1040;&#1049;&#1047;%202025&#1075;-&#1057;&#1042;&#1054;&#1044;&#1050;&#1040;%20&#1055;&#1056;&#1054;&#1042;&#1054;&#1044;&#1050;&#1040;%20&#1060;&#1048;&#1056;&#1052;\6010-1-&#1057;&#1074;&#1086;&#1076;&#1082;&#1072;%20&#1087;&#1086;%20&#1089;&#1095;&#1077;&#1090;&#1072;&#1084;%2001-12.xlsx" TargetMode="External"/><Relationship Id="rId1" Type="http://schemas.openxmlformats.org/officeDocument/2006/relationships/externalLinkPath" Target="file:///E:\&#1044;&#1054;&#1050;&#1059;&#1052;&#1045;&#1053;&#1058;&#1067;%20&#1060;&#1048;&#1056;&#1052;%202025.&#1043;&#1086;&#1076;\&#1060;&#1040;&#1050;&#1058;&#1048;&#1063;.&#1053;&#1059;&#1056;%20&#1060;&#1040;&#1049;&#1047;%202025&#1075;-&#1057;&#1042;&#1054;&#1044;&#1050;&#1040;%20&#1055;&#1056;&#1054;&#1042;&#1054;&#1044;&#1050;&#1040;%20&#1060;&#1048;&#1056;&#1052;\6010-1-&#1057;&#1074;&#1086;&#1076;&#1082;&#1072;%20&#1087;&#1086;%20&#1089;&#1095;&#1077;&#1090;&#1072;&#1084;%2001-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Акт сверки"/>
    </sheetNames>
    <sheetDataSet>
      <sheetData sheetId="0">
        <row r="1">
          <cell r="B1">
            <v>6010</v>
          </cell>
          <cell r="D1" t="str">
            <v xml:space="preserve">OOО   «NUR FAYZ REKLAMA» </v>
          </cell>
          <cell r="M1">
            <v>2025</v>
          </cell>
          <cell r="O1">
            <v>0</v>
          </cell>
          <cell r="P1">
            <v>0</v>
          </cell>
        </row>
        <row r="3">
          <cell r="J3">
            <v>5110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Q2" t="str">
            <v>Сальдо на 01.11.</v>
          </cell>
          <cell r="R2">
            <v>2025</v>
          </cell>
        </row>
        <row r="103">
          <cell r="E103">
            <v>646665912.38</v>
          </cell>
          <cell r="F103">
            <v>329690000</v>
          </cell>
          <cell r="G103">
            <v>67208642.859999999</v>
          </cell>
          <cell r="J103">
            <v>367366312.3344</v>
          </cell>
          <cell r="K103">
            <v>8535841902.1891994</v>
          </cell>
          <cell r="L103">
            <v>8354971749.0199995</v>
          </cell>
          <cell r="M103">
            <v>0</v>
          </cell>
          <cell r="N103">
            <v>940500</v>
          </cell>
          <cell r="O103">
            <v>0</v>
          </cell>
          <cell r="P103">
            <v>8355912249.0199995</v>
          </cell>
          <cell r="Q103">
            <v>-1308177816.7823997</v>
          </cell>
          <cell r="R103">
            <v>881999516.42760038</v>
          </cell>
        </row>
      </sheetData>
      <sheetData sheetId="10">
        <row r="104">
          <cell r="E104">
            <v>402767857.13999999</v>
          </cell>
          <cell r="F104">
            <v>0</v>
          </cell>
          <cell r="G104">
            <v>71428571.430000007</v>
          </cell>
          <cell r="H104">
            <v>1067941891.4200001</v>
          </cell>
          <cell r="I104">
            <v>185056598.39879999</v>
          </cell>
          <cell r="J104">
            <v>0</v>
          </cell>
          <cell r="K104">
            <v>1727194918.3887997</v>
          </cell>
          <cell r="L104">
            <v>1541893918.4000001</v>
          </cell>
          <cell r="M104">
            <v>0</v>
          </cell>
          <cell r="N104">
            <v>0</v>
          </cell>
          <cell r="O104">
            <v>0</v>
          </cell>
          <cell r="P104">
            <v>1541893918.4000001</v>
          </cell>
          <cell r="Q104">
            <v>-416719322.31719995</v>
          </cell>
          <cell r="R104">
            <v>273084473.03879994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zoomScale="85" zoomScaleNormal="85" workbookViewId="0">
      <selection activeCell="E25" sqref="E25"/>
    </sheetView>
  </sheetViews>
  <sheetFormatPr defaultRowHeight="15.75" x14ac:dyDescent="0.25"/>
  <cols>
    <col min="1" max="1" width="32.42578125" style="12" customWidth="1"/>
    <col min="2" max="2" width="23" style="12" customWidth="1"/>
    <col min="3" max="3" width="21.5703125" style="12" customWidth="1"/>
    <col min="4" max="4" width="21.140625" style="12" customWidth="1"/>
    <col min="5" max="5" width="22.85546875" style="12" bestFit="1" customWidth="1"/>
    <col min="6" max="6" width="20.140625" style="12" customWidth="1"/>
    <col min="7" max="9" width="20.7109375" style="12" customWidth="1"/>
    <col min="10" max="10" width="20.85546875" style="12" customWidth="1"/>
    <col min="11" max="11" width="22.7109375" style="12" customWidth="1"/>
    <col min="12" max="12" width="22.7109375" style="12" bestFit="1" customWidth="1"/>
    <col min="13" max="13" width="20.85546875" style="12" bestFit="1" customWidth="1"/>
    <col min="14" max="14" width="17.85546875" style="12" customWidth="1"/>
    <col min="15" max="15" width="11.85546875" style="12" customWidth="1"/>
    <col min="16" max="16" width="22.7109375" style="12" bestFit="1" customWidth="1"/>
    <col min="17" max="17" width="22.7109375" style="12" customWidth="1"/>
    <col min="18" max="18" width="24.85546875" style="12" customWidth="1"/>
    <col min="19" max="19" width="14.85546875" style="12" customWidth="1"/>
    <col min="20" max="16384" width="9.140625" style="12"/>
  </cols>
  <sheetData>
    <row r="1" spans="1:20" ht="16.5" thickBot="1" x14ac:dyDescent="0.3">
      <c r="A1" s="5" t="s">
        <v>0</v>
      </c>
      <c r="B1" s="6">
        <f>'[1]01'!B1</f>
        <v>6010</v>
      </c>
      <c r="C1" s="7" t="s">
        <v>1</v>
      </c>
      <c r="D1" s="54" t="str">
        <f>'[1]01'!D1:H1</f>
        <v xml:space="preserve">OOО   «NUR FAYZ REKLAMA» </v>
      </c>
      <c r="E1" s="54"/>
      <c r="F1" s="54"/>
      <c r="G1" s="54"/>
      <c r="H1" s="54"/>
      <c r="I1" s="54"/>
      <c r="J1" s="54"/>
      <c r="K1" s="8" t="s">
        <v>2</v>
      </c>
      <c r="L1" s="54" t="s">
        <v>15</v>
      </c>
      <c r="M1" s="54"/>
      <c r="N1" s="8" t="s">
        <v>3</v>
      </c>
      <c r="O1" s="7">
        <f>'[1]01'!M1</f>
        <v>2025</v>
      </c>
      <c r="P1" s="9" t="s">
        <v>4</v>
      </c>
      <c r="Q1" s="10">
        <f>'[1]01'!O1</f>
        <v>0</v>
      </c>
      <c r="R1" s="10">
        <f>'[1]01'!P1</f>
        <v>0</v>
      </c>
      <c r="S1" s="11"/>
      <c r="T1" s="11"/>
    </row>
    <row r="2" spans="1:20" x14ac:dyDescent="0.25">
      <c r="A2" s="52" t="s">
        <v>5</v>
      </c>
      <c r="B2" s="52" t="s">
        <v>6</v>
      </c>
      <c r="C2" s="13" t="str">
        <f>'[1]10'!Q2</f>
        <v>Сальдо на 01.11.</v>
      </c>
      <c r="D2" s="14">
        <f>'[1]10'!R2</f>
        <v>2025</v>
      </c>
      <c r="E2" s="57" t="s">
        <v>7</v>
      </c>
      <c r="F2" s="58"/>
      <c r="G2" s="58"/>
      <c r="H2" s="58"/>
      <c r="I2" s="58"/>
      <c r="J2" s="58"/>
      <c r="K2" s="55" t="s">
        <v>8</v>
      </c>
      <c r="L2" s="58" t="s">
        <v>9</v>
      </c>
      <c r="M2" s="58"/>
      <c r="N2" s="58"/>
      <c r="O2" s="58"/>
      <c r="P2" s="55" t="s">
        <v>10</v>
      </c>
      <c r="Q2" s="13" t="s">
        <v>16</v>
      </c>
      <c r="R2" s="14">
        <f>D2</f>
        <v>2025</v>
      </c>
      <c r="S2" s="11"/>
      <c r="T2" s="11"/>
    </row>
    <row r="3" spans="1:20" x14ac:dyDescent="0.25">
      <c r="A3" s="53"/>
      <c r="B3" s="53"/>
      <c r="C3" s="16" t="s">
        <v>9</v>
      </c>
      <c r="D3" s="13" t="s">
        <v>7</v>
      </c>
      <c r="E3" s="1" t="s">
        <v>11</v>
      </c>
      <c r="F3" s="1">
        <v>5110</v>
      </c>
      <c r="G3" s="1">
        <v>2010</v>
      </c>
      <c r="H3" s="1">
        <v>1010</v>
      </c>
      <c r="I3" s="2">
        <v>44.1</v>
      </c>
      <c r="J3" s="17"/>
      <c r="K3" s="56"/>
      <c r="L3" s="18">
        <f>'[1]01'!J3</f>
        <v>5110</v>
      </c>
      <c r="M3" s="15">
        <f>'[1]01'!K3</f>
        <v>0</v>
      </c>
      <c r="N3" s="15"/>
      <c r="O3" s="19"/>
      <c r="P3" s="56"/>
      <c r="Q3" s="16" t="s">
        <v>12</v>
      </c>
      <c r="R3" s="13" t="s">
        <v>13</v>
      </c>
      <c r="S3" s="11"/>
      <c r="T3" s="11"/>
    </row>
    <row r="4" spans="1:20" x14ac:dyDescent="0.25">
      <c r="A4" s="33"/>
      <c r="B4" s="43"/>
      <c r="C4" s="34"/>
      <c r="D4" s="35"/>
      <c r="E4" s="22"/>
      <c r="F4" s="21"/>
      <c r="G4" s="21"/>
      <c r="H4" s="23"/>
      <c r="I4" s="23">
        <f>(E4+G4+H4)*12%</f>
        <v>0</v>
      </c>
      <c r="J4" s="23"/>
      <c r="K4" s="24">
        <f>SUM(E4:J4)</f>
        <v>0</v>
      </c>
      <c r="L4" s="25"/>
      <c r="M4" s="21"/>
      <c r="N4" s="21"/>
      <c r="O4" s="23"/>
      <c r="P4" s="24">
        <f>SUM(L4:O4)</f>
        <v>0</v>
      </c>
      <c r="Q4" s="20">
        <f>C4+D4+K4-P4</f>
        <v>0</v>
      </c>
      <c r="R4" s="26">
        <f>C4+D4+K4-P4</f>
        <v>0</v>
      </c>
      <c r="S4" s="11"/>
      <c r="T4" s="11"/>
    </row>
    <row r="5" spans="1:20" x14ac:dyDescent="0.25">
      <c r="A5" s="33"/>
      <c r="B5" s="43"/>
      <c r="C5" s="34"/>
      <c r="D5" s="35"/>
      <c r="E5" s="22"/>
      <c r="F5" s="21"/>
      <c r="G5" s="21"/>
      <c r="H5" s="23"/>
      <c r="I5" s="23">
        <f t="shared" ref="I5:I27" si="0">(E5+G5+H5)*12%</f>
        <v>0</v>
      </c>
      <c r="J5" s="23"/>
      <c r="K5" s="24">
        <f t="shared" ref="K5:K27" si="1">SUM(E5:J5)</f>
        <v>0</v>
      </c>
      <c r="L5" s="25"/>
      <c r="M5" s="21"/>
      <c r="N5" s="21"/>
      <c r="O5" s="23"/>
      <c r="P5" s="24">
        <f t="shared" ref="P5:P27" si="2">SUM(L5:O5)</f>
        <v>0</v>
      </c>
      <c r="Q5" s="20">
        <f>C5+D5+K5-P5</f>
        <v>0</v>
      </c>
      <c r="R5" s="26">
        <f t="shared" ref="R5:R27" si="3">C5+D5+K5-P5</f>
        <v>0</v>
      </c>
      <c r="S5" s="11"/>
      <c r="T5" s="11"/>
    </row>
    <row r="6" spans="1:20" x14ac:dyDescent="0.25">
      <c r="A6" s="33"/>
      <c r="B6" s="33"/>
      <c r="C6" s="49"/>
      <c r="D6" s="35"/>
      <c r="E6" s="21"/>
      <c r="F6" s="21"/>
      <c r="G6" s="21"/>
      <c r="H6" s="23"/>
      <c r="I6" s="23">
        <f t="shared" si="0"/>
        <v>0</v>
      </c>
      <c r="J6" s="23"/>
      <c r="K6" s="24">
        <f t="shared" si="1"/>
        <v>0</v>
      </c>
      <c r="L6" s="25"/>
      <c r="M6" s="21"/>
      <c r="N6" s="21"/>
      <c r="O6" s="23"/>
      <c r="P6" s="24">
        <f t="shared" si="2"/>
        <v>0</v>
      </c>
      <c r="Q6" s="20">
        <f t="shared" ref="Q6:Q27" si="4">C6+D6+K6-P6</f>
        <v>0</v>
      </c>
      <c r="R6" s="26">
        <f t="shared" si="3"/>
        <v>0</v>
      </c>
      <c r="S6" s="11"/>
      <c r="T6" s="11"/>
    </row>
    <row r="7" spans="1:20" x14ac:dyDescent="0.25">
      <c r="A7" s="43"/>
      <c r="B7" s="43"/>
      <c r="C7" s="49"/>
      <c r="D7" s="35"/>
      <c r="E7" s="21"/>
      <c r="F7" s="21"/>
      <c r="G7" s="21"/>
      <c r="H7" s="23"/>
      <c r="I7" s="23">
        <f t="shared" si="0"/>
        <v>0</v>
      </c>
      <c r="J7" s="23"/>
      <c r="K7" s="24">
        <f t="shared" si="1"/>
        <v>0</v>
      </c>
      <c r="L7" s="25"/>
      <c r="M7" s="21"/>
      <c r="N7" s="21"/>
      <c r="O7" s="23"/>
      <c r="P7" s="24">
        <f t="shared" si="2"/>
        <v>0</v>
      </c>
      <c r="Q7" s="20">
        <f t="shared" si="4"/>
        <v>0</v>
      </c>
      <c r="R7" s="26">
        <f t="shared" si="3"/>
        <v>0</v>
      </c>
      <c r="S7" s="11"/>
      <c r="T7" s="11"/>
    </row>
    <row r="8" spans="1:20" x14ac:dyDescent="0.25">
      <c r="A8" s="43"/>
      <c r="B8" s="33"/>
      <c r="C8" s="49"/>
      <c r="D8" s="35"/>
      <c r="E8" s="21"/>
      <c r="F8" s="21"/>
      <c r="G8" s="21"/>
      <c r="H8" s="23"/>
      <c r="I8" s="23">
        <f t="shared" si="0"/>
        <v>0</v>
      </c>
      <c r="J8" s="23"/>
      <c r="K8" s="24">
        <f t="shared" si="1"/>
        <v>0</v>
      </c>
      <c r="L8" s="25"/>
      <c r="M8" s="21"/>
      <c r="N8" s="21"/>
      <c r="O8" s="23"/>
      <c r="P8" s="24">
        <f t="shared" si="2"/>
        <v>0</v>
      </c>
      <c r="Q8" s="20">
        <f t="shared" si="4"/>
        <v>0</v>
      </c>
      <c r="R8" s="26">
        <f t="shared" si="3"/>
        <v>0</v>
      </c>
      <c r="S8" s="11"/>
      <c r="T8" s="11"/>
    </row>
    <row r="9" spans="1:20" x14ac:dyDescent="0.25">
      <c r="A9" s="43"/>
      <c r="B9" s="44"/>
      <c r="C9" s="49"/>
      <c r="D9" s="35"/>
      <c r="E9" s="21"/>
      <c r="F9" s="21"/>
      <c r="G9" s="21"/>
      <c r="H9" s="23"/>
      <c r="I9" s="23">
        <f t="shared" si="0"/>
        <v>0</v>
      </c>
      <c r="J9" s="23"/>
      <c r="K9" s="24">
        <f t="shared" si="1"/>
        <v>0</v>
      </c>
      <c r="L9" s="25"/>
      <c r="M9" s="21"/>
      <c r="N9" s="21"/>
      <c r="O9" s="23"/>
      <c r="P9" s="24">
        <f t="shared" si="2"/>
        <v>0</v>
      </c>
      <c r="Q9" s="20">
        <f t="shared" si="4"/>
        <v>0</v>
      </c>
      <c r="R9" s="26">
        <f t="shared" si="3"/>
        <v>0</v>
      </c>
      <c r="S9" s="11"/>
      <c r="T9" s="11"/>
    </row>
    <row r="10" spans="1:20" x14ac:dyDescent="0.25">
      <c r="A10" s="45"/>
      <c r="B10" s="46"/>
      <c r="C10" s="49"/>
      <c r="D10" s="35"/>
      <c r="E10" s="21"/>
      <c r="F10" s="21"/>
      <c r="G10" s="21"/>
      <c r="H10" s="23"/>
      <c r="I10" s="23">
        <f t="shared" si="0"/>
        <v>0</v>
      </c>
      <c r="J10" s="23"/>
      <c r="K10" s="24">
        <f t="shared" si="1"/>
        <v>0</v>
      </c>
      <c r="L10" s="25"/>
      <c r="M10" s="21"/>
      <c r="N10" s="21"/>
      <c r="O10" s="23"/>
      <c r="P10" s="24">
        <f t="shared" si="2"/>
        <v>0</v>
      </c>
      <c r="Q10" s="20">
        <f t="shared" si="4"/>
        <v>0</v>
      </c>
      <c r="R10" s="26">
        <f t="shared" si="3"/>
        <v>0</v>
      </c>
      <c r="S10" s="11"/>
      <c r="T10" s="11"/>
    </row>
    <row r="11" spans="1:20" x14ac:dyDescent="0.25">
      <c r="A11" s="33"/>
      <c r="B11" s="33"/>
      <c r="C11" s="49"/>
      <c r="D11" s="35"/>
      <c r="E11" s="21"/>
      <c r="F11" s="21"/>
      <c r="G11" s="21"/>
      <c r="H11" s="23"/>
      <c r="I11" s="23">
        <f t="shared" si="0"/>
        <v>0</v>
      </c>
      <c r="J11" s="23"/>
      <c r="K11" s="24">
        <f t="shared" si="1"/>
        <v>0</v>
      </c>
      <c r="L11" s="25"/>
      <c r="M11" s="21"/>
      <c r="N11" s="21"/>
      <c r="O11" s="23"/>
      <c r="P11" s="24">
        <f t="shared" si="2"/>
        <v>0</v>
      </c>
      <c r="Q11" s="20">
        <f t="shared" si="4"/>
        <v>0</v>
      </c>
      <c r="R11" s="26">
        <f t="shared" si="3"/>
        <v>0</v>
      </c>
      <c r="S11" s="11"/>
      <c r="T11" s="11"/>
    </row>
    <row r="12" spans="1:20" x14ac:dyDescent="0.25">
      <c r="A12" s="33"/>
      <c r="B12" s="43"/>
      <c r="C12" s="49"/>
      <c r="D12" s="35"/>
      <c r="E12" s="21"/>
      <c r="F12" s="21"/>
      <c r="G12" s="21"/>
      <c r="H12" s="23"/>
      <c r="I12" s="23">
        <f t="shared" si="0"/>
        <v>0</v>
      </c>
      <c r="J12" s="23"/>
      <c r="K12" s="24">
        <f t="shared" si="1"/>
        <v>0</v>
      </c>
      <c r="L12" s="25"/>
      <c r="M12" s="21"/>
      <c r="N12" s="21"/>
      <c r="O12" s="23"/>
      <c r="P12" s="24">
        <f t="shared" si="2"/>
        <v>0</v>
      </c>
      <c r="Q12" s="20">
        <f t="shared" si="4"/>
        <v>0</v>
      </c>
      <c r="R12" s="26">
        <f t="shared" si="3"/>
        <v>0</v>
      </c>
      <c r="S12" s="11"/>
      <c r="T12" s="11"/>
    </row>
    <row r="13" spans="1:20" x14ac:dyDescent="0.25">
      <c r="A13" s="43"/>
      <c r="B13" s="33"/>
      <c r="C13" s="34"/>
      <c r="D13" s="35"/>
      <c r="E13" s="21"/>
      <c r="F13" s="21"/>
      <c r="G13" s="21"/>
      <c r="H13" s="23"/>
      <c r="I13" s="23">
        <f t="shared" si="0"/>
        <v>0</v>
      </c>
      <c r="J13" s="23"/>
      <c r="K13" s="24">
        <f t="shared" si="1"/>
        <v>0</v>
      </c>
      <c r="L13" s="25"/>
      <c r="M13" s="21"/>
      <c r="N13" s="21"/>
      <c r="O13" s="23"/>
      <c r="P13" s="24">
        <f t="shared" si="2"/>
        <v>0</v>
      </c>
      <c r="Q13" s="20">
        <f t="shared" si="4"/>
        <v>0</v>
      </c>
      <c r="R13" s="26">
        <f t="shared" si="3"/>
        <v>0</v>
      </c>
      <c r="S13" s="11"/>
      <c r="T13" s="11"/>
    </row>
    <row r="14" spans="1:20" x14ac:dyDescent="0.25">
      <c r="A14" s="43"/>
      <c r="B14" s="33"/>
      <c r="C14" s="34"/>
      <c r="D14" s="35"/>
      <c r="E14" s="21"/>
      <c r="F14" s="21"/>
      <c r="G14" s="21"/>
      <c r="H14" s="23"/>
      <c r="I14" s="23">
        <f t="shared" si="0"/>
        <v>0</v>
      </c>
      <c r="J14" s="23"/>
      <c r="K14" s="24">
        <f t="shared" si="1"/>
        <v>0</v>
      </c>
      <c r="L14" s="25"/>
      <c r="M14" s="21"/>
      <c r="N14" s="21"/>
      <c r="O14" s="23"/>
      <c r="P14" s="24">
        <f t="shared" si="2"/>
        <v>0</v>
      </c>
      <c r="Q14" s="20">
        <f t="shared" si="4"/>
        <v>0</v>
      </c>
      <c r="R14" s="26">
        <f t="shared" si="3"/>
        <v>0</v>
      </c>
      <c r="S14" s="11"/>
      <c r="T14" s="11"/>
    </row>
    <row r="15" spans="1:20" x14ac:dyDescent="0.25">
      <c r="A15" s="43"/>
      <c r="B15" s="43"/>
      <c r="C15" s="34"/>
      <c r="D15" s="35"/>
      <c r="E15" s="21"/>
      <c r="F15" s="21"/>
      <c r="G15" s="21"/>
      <c r="H15" s="23"/>
      <c r="I15" s="23">
        <f t="shared" si="0"/>
        <v>0</v>
      </c>
      <c r="J15" s="23"/>
      <c r="K15" s="24">
        <f t="shared" si="1"/>
        <v>0</v>
      </c>
      <c r="L15" s="25"/>
      <c r="M15" s="21"/>
      <c r="N15" s="21"/>
      <c r="O15" s="23"/>
      <c r="P15" s="24">
        <f t="shared" si="2"/>
        <v>0</v>
      </c>
      <c r="Q15" s="20">
        <f t="shared" si="4"/>
        <v>0</v>
      </c>
      <c r="R15" s="26">
        <f t="shared" si="3"/>
        <v>0</v>
      </c>
      <c r="S15" s="11"/>
      <c r="T15" s="11"/>
    </row>
    <row r="16" spans="1:20" x14ac:dyDescent="0.25">
      <c r="A16" s="43"/>
      <c r="B16" s="43"/>
      <c r="C16" s="34"/>
      <c r="D16" s="35"/>
      <c r="E16" s="21"/>
      <c r="F16" s="21"/>
      <c r="G16" s="21"/>
      <c r="H16" s="23"/>
      <c r="I16" s="23">
        <f t="shared" si="0"/>
        <v>0</v>
      </c>
      <c r="J16" s="23"/>
      <c r="K16" s="24">
        <f t="shared" si="1"/>
        <v>0</v>
      </c>
      <c r="L16" s="25"/>
      <c r="M16" s="21"/>
      <c r="N16" s="21"/>
      <c r="O16" s="23"/>
      <c r="P16" s="24">
        <f t="shared" si="2"/>
        <v>0</v>
      </c>
      <c r="Q16" s="20">
        <f t="shared" si="4"/>
        <v>0</v>
      </c>
      <c r="R16" s="26">
        <f t="shared" si="3"/>
        <v>0</v>
      </c>
      <c r="S16" s="11"/>
      <c r="T16" s="11"/>
    </row>
    <row r="17" spans="1:20" x14ac:dyDescent="0.25">
      <c r="A17" s="28"/>
      <c r="B17" s="47"/>
      <c r="C17" s="34"/>
      <c r="D17" s="35"/>
      <c r="E17" s="21"/>
      <c r="F17" s="21"/>
      <c r="G17" s="21"/>
      <c r="H17" s="23"/>
      <c r="I17" s="23">
        <f t="shared" si="0"/>
        <v>0</v>
      </c>
      <c r="J17" s="23"/>
      <c r="K17" s="24">
        <f t="shared" si="1"/>
        <v>0</v>
      </c>
      <c r="L17" s="25"/>
      <c r="M17" s="21"/>
      <c r="N17" s="21"/>
      <c r="O17" s="23"/>
      <c r="P17" s="24">
        <f t="shared" si="2"/>
        <v>0</v>
      </c>
      <c r="Q17" s="20">
        <f t="shared" si="4"/>
        <v>0</v>
      </c>
      <c r="R17" s="26">
        <f t="shared" si="3"/>
        <v>0</v>
      </c>
      <c r="S17" s="11"/>
      <c r="T17" s="11"/>
    </row>
    <row r="18" spans="1:20" x14ac:dyDescent="0.25">
      <c r="A18" s="33"/>
      <c r="B18" s="33"/>
      <c r="C18" s="34"/>
      <c r="D18" s="35"/>
      <c r="E18" s="21"/>
      <c r="F18" s="21"/>
      <c r="G18" s="21"/>
      <c r="H18" s="23"/>
      <c r="I18" s="23">
        <f t="shared" si="0"/>
        <v>0</v>
      </c>
      <c r="J18" s="23"/>
      <c r="K18" s="24">
        <f t="shared" si="1"/>
        <v>0</v>
      </c>
      <c r="L18" s="25"/>
      <c r="M18" s="21"/>
      <c r="N18" s="21"/>
      <c r="O18" s="23"/>
      <c r="P18" s="24">
        <f t="shared" si="2"/>
        <v>0</v>
      </c>
      <c r="Q18" s="20">
        <f t="shared" si="4"/>
        <v>0</v>
      </c>
      <c r="R18" s="26">
        <f t="shared" si="3"/>
        <v>0</v>
      </c>
      <c r="S18" s="11"/>
      <c r="T18" s="11"/>
    </row>
    <row r="19" spans="1:20" x14ac:dyDescent="0.25">
      <c r="A19" s="33"/>
      <c r="B19" s="33"/>
      <c r="C19" s="34"/>
      <c r="D19" s="35"/>
      <c r="E19" s="21"/>
      <c r="F19" s="21"/>
      <c r="G19" s="21"/>
      <c r="H19" s="23"/>
      <c r="I19" s="23">
        <f t="shared" si="0"/>
        <v>0</v>
      </c>
      <c r="J19" s="23"/>
      <c r="K19" s="24">
        <f t="shared" si="1"/>
        <v>0</v>
      </c>
      <c r="L19" s="25"/>
      <c r="M19" s="21"/>
      <c r="N19" s="21"/>
      <c r="O19" s="23"/>
      <c r="P19" s="24">
        <f t="shared" si="2"/>
        <v>0</v>
      </c>
      <c r="Q19" s="20">
        <f t="shared" si="4"/>
        <v>0</v>
      </c>
      <c r="R19" s="26">
        <f t="shared" si="3"/>
        <v>0</v>
      </c>
      <c r="S19" s="11"/>
      <c r="T19" s="11"/>
    </row>
    <row r="20" spans="1:20" x14ac:dyDescent="0.25">
      <c r="A20" s="33"/>
      <c r="B20" s="33"/>
      <c r="C20" s="34"/>
      <c r="D20" s="35"/>
      <c r="E20" s="21"/>
      <c r="F20" s="21"/>
      <c r="G20" s="21"/>
      <c r="H20" s="23"/>
      <c r="I20" s="23">
        <f t="shared" si="0"/>
        <v>0</v>
      </c>
      <c r="J20" s="23"/>
      <c r="K20" s="24">
        <f t="shared" si="1"/>
        <v>0</v>
      </c>
      <c r="L20" s="25"/>
      <c r="M20" s="21"/>
      <c r="N20" s="21"/>
      <c r="O20" s="23"/>
      <c r="P20" s="24">
        <f t="shared" si="2"/>
        <v>0</v>
      </c>
      <c r="Q20" s="20">
        <f t="shared" si="4"/>
        <v>0</v>
      </c>
      <c r="R20" s="26">
        <f t="shared" si="3"/>
        <v>0</v>
      </c>
      <c r="S20" s="11"/>
      <c r="T20" s="11"/>
    </row>
    <row r="21" spans="1:20" x14ac:dyDescent="0.25">
      <c r="A21" s="36"/>
      <c r="B21" s="27"/>
      <c r="C21" s="34"/>
      <c r="D21" s="35"/>
      <c r="E21" s="21"/>
      <c r="F21" s="21"/>
      <c r="G21" s="21"/>
      <c r="H21" s="23"/>
      <c r="I21" s="23">
        <f t="shared" si="0"/>
        <v>0</v>
      </c>
      <c r="J21" s="23"/>
      <c r="K21" s="24">
        <f t="shared" si="1"/>
        <v>0</v>
      </c>
      <c r="L21" s="25"/>
      <c r="M21" s="21"/>
      <c r="N21" s="21"/>
      <c r="O21" s="23"/>
      <c r="P21" s="24">
        <f t="shared" si="2"/>
        <v>0</v>
      </c>
      <c r="Q21" s="20">
        <f t="shared" si="4"/>
        <v>0</v>
      </c>
      <c r="R21" s="26">
        <f t="shared" si="3"/>
        <v>0</v>
      </c>
      <c r="S21" s="11"/>
      <c r="T21" s="11"/>
    </row>
    <row r="22" spans="1:20" x14ac:dyDescent="0.25">
      <c r="A22" s="37"/>
      <c r="B22" s="27"/>
      <c r="C22" s="34"/>
      <c r="D22" s="35"/>
      <c r="E22" s="21"/>
      <c r="F22" s="21"/>
      <c r="G22" s="21"/>
      <c r="H22" s="23"/>
      <c r="I22" s="23">
        <f t="shared" si="0"/>
        <v>0</v>
      </c>
      <c r="J22" s="23"/>
      <c r="K22" s="24">
        <f t="shared" si="1"/>
        <v>0</v>
      </c>
      <c r="L22" s="25"/>
      <c r="M22" s="21"/>
      <c r="N22" s="21"/>
      <c r="O22" s="23"/>
      <c r="P22" s="24">
        <f t="shared" si="2"/>
        <v>0</v>
      </c>
      <c r="Q22" s="20">
        <f t="shared" si="4"/>
        <v>0</v>
      </c>
      <c r="R22" s="26">
        <f t="shared" si="3"/>
        <v>0</v>
      </c>
      <c r="S22" s="11"/>
      <c r="T22" s="11"/>
    </row>
    <row r="23" spans="1:20" x14ac:dyDescent="0.25">
      <c r="A23" s="38"/>
      <c r="B23" s="27"/>
      <c r="C23" s="34"/>
      <c r="D23" s="35"/>
      <c r="E23" s="21"/>
      <c r="F23" s="21"/>
      <c r="G23" s="21"/>
      <c r="H23" s="23"/>
      <c r="I23" s="23">
        <f t="shared" si="0"/>
        <v>0</v>
      </c>
      <c r="J23" s="23"/>
      <c r="K23" s="24">
        <f t="shared" si="1"/>
        <v>0</v>
      </c>
      <c r="L23" s="25"/>
      <c r="M23" s="21"/>
      <c r="N23" s="21"/>
      <c r="O23" s="23"/>
      <c r="P23" s="24">
        <f t="shared" si="2"/>
        <v>0</v>
      </c>
      <c r="Q23" s="20">
        <f t="shared" si="4"/>
        <v>0</v>
      </c>
      <c r="R23" s="26">
        <f t="shared" si="3"/>
        <v>0</v>
      </c>
      <c r="S23" s="11"/>
      <c r="T23" s="11"/>
    </row>
    <row r="24" spans="1:20" x14ac:dyDescent="0.25">
      <c r="A24" s="33"/>
      <c r="B24" s="33"/>
      <c r="C24" s="34"/>
      <c r="D24" s="35"/>
      <c r="E24" s="21"/>
      <c r="F24" s="21"/>
      <c r="G24" s="21"/>
      <c r="H24" s="23"/>
      <c r="I24" s="23">
        <f t="shared" si="0"/>
        <v>0</v>
      </c>
      <c r="J24" s="23"/>
      <c r="K24" s="24">
        <f t="shared" si="1"/>
        <v>0</v>
      </c>
      <c r="L24" s="25"/>
      <c r="M24" s="21"/>
      <c r="N24" s="21"/>
      <c r="O24" s="23"/>
      <c r="P24" s="24">
        <f t="shared" si="2"/>
        <v>0</v>
      </c>
      <c r="Q24" s="20">
        <f t="shared" si="4"/>
        <v>0</v>
      </c>
      <c r="R24" s="26">
        <f t="shared" si="3"/>
        <v>0</v>
      </c>
      <c r="S24" s="11"/>
      <c r="T24" s="11"/>
    </row>
    <row r="25" spans="1:20" x14ac:dyDescent="0.25">
      <c r="A25" s="28"/>
      <c r="B25" s="28"/>
      <c r="C25" s="34"/>
      <c r="D25" s="35"/>
      <c r="E25" s="21"/>
      <c r="F25" s="21"/>
      <c r="G25" s="21"/>
      <c r="H25" s="23"/>
      <c r="I25" s="23">
        <f t="shared" si="0"/>
        <v>0</v>
      </c>
      <c r="J25" s="23"/>
      <c r="K25" s="24">
        <f t="shared" si="1"/>
        <v>0</v>
      </c>
      <c r="L25" s="25"/>
      <c r="M25" s="21"/>
      <c r="N25" s="21"/>
      <c r="O25" s="23"/>
      <c r="P25" s="24">
        <f t="shared" si="2"/>
        <v>0</v>
      </c>
      <c r="Q25" s="20">
        <f t="shared" si="4"/>
        <v>0</v>
      </c>
      <c r="R25" s="26">
        <f t="shared" si="3"/>
        <v>0</v>
      </c>
      <c r="S25" s="11"/>
      <c r="T25" s="11"/>
    </row>
    <row r="26" spans="1:20" x14ac:dyDescent="0.25">
      <c r="A26" s="39"/>
      <c r="B26" s="40"/>
      <c r="C26" s="34"/>
      <c r="D26" s="35"/>
      <c r="E26" s="21"/>
      <c r="F26" s="21"/>
      <c r="G26" s="21"/>
      <c r="H26" s="23"/>
      <c r="I26" s="23">
        <f t="shared" si="0"/>
        <v>0</v>
      </c>
      <c r="J26" s="23"/>
      <c r="K26" s="24">
        <f t="shared" si="1"/>
        <v>0</v>
      </c>
      <c r="L26" s="25"/>
      <c r="M26" s="21"/>
      <c r="N26" s="21"/>
      <c r="O26" s="23"/>
      <c r="P26" s="24">
        <f t="shared" si="2"/>
        <v>0</v>
      </c>
      <c r="Q26" s="20">
        <f t="shared" si="4"/>
        <v>0</v>
      </c>
      <c r="R26" s="26">
        <f t="shared" si="3"/>
        <v>0</v>
      </c>
      <c r="S26" s="11"/>
      <c r="T26" s="11"/>
    </row>
    <row r="27" spans="1:20" x14ac:dyDescent="0.25">
      <c r="A27" s="39"/>
      <c r="B27" s="40"/>
      <c r="C27" s="34"/>
      <c r="D27" s="35"/>
      <c r="E27" s="21"/>
      <c r="F27" s="21"/>
      <c r="G27" s="21"/>
      <c r="H27" s="23"/>
      <c r="I27" s="23">
        <f t="shared" si="0"/>
        <v>0</v>
      </c>
      <c r="J27" s="23"/>
      <c r="K27" s="24">
        <f t="shared" si="1"/>
        <v>0</v>
      </c>
      <c r="L27" s="25"/>
      <c r="M27" s="21"/>
      <c r="N27" s="21"/>
      <c r="O27" s="23"/>
      <c r="P27" s="24">
        <f t="shared" si="2"/>
        <v>0</v>
      </c>
      <c r="Q27" s="20">
        <f t="shared" si="4"/>
        <v>0</v>
      </c>
      <c r="R27" s="26">
        <f t="shared" si="3"/>
        <v>0</v>
      </c>
      <c r="S27" s="11"/>
      <c r="T27" s="11"/>
    </row>
    <row r="28" spans="1:20" x14ac:dyDescent="0.25">
      <c r="A28" s="3"/>
      <c r="B28" s="4"/>
      <c r="C28" s="20"/>
      <c r="D28" s="21"/>
      <c r="E28" s="21"/>
      <c r="F28" s="21"/>
      <c r="G28" s="21"/>
      <c r="H28" s="23"/>
      <c r="I28" s="23">
        <f t="shared" ref="I28:I38" si="5">(E28+G28+H28)*12%</f>
        <v>0</v>
      </c>
      <c r="J28" s="23"/>
      <c r="K28" s="24">
        <f t="shared" ref="K28:K38" si="6">SUM(E28:J28)</f>
        <v>0</v>
      </c>
      <c r="L28" s="25"/>
      <c r="M28" s="21"/>
      <c r="N28" s="21"/>
      <c r="O28" s="23"/>
      <c r="P28" s="24">
        <f t="shared" ref="P28:P38" si="7">SUM(L28:O28)</f>
        <v>0</v>
      </c>
      <c r="Q28" s="20">
        <f t="shared" ref="Q28:Q38" si="8">C28+D28+K28-P28</f>
        <v>0</v>
      </c>
      <c r="R28" s="26">
        <f t="shared" ref="R28:R38" si="9">C28+D28+K28-P28</f>
        <v>0</v>
      </c>
      <c r="S28" s="11"/>
      <c r="T28" s="11"/>
    </row>
    <row r="29" spans="1:20" x14ac:dyDescent="0.25">
      <c r="A29" s="3"/>
      <c r="B29" s="4"/>
      <c r="C29" s="50"/>
      <c r="D29" s="51"/>
      <c r="E29" s="21"/>
      <c r="F29" s="21"/>
      <c r="G29" s="21"/>
      <c r="H29" s="23"/>
      <c r="I29" s="23">
        <f t="shared" si="5"/>
        <v>0</v>
      </c>
      <c r="J29" s="23"/>
      <c r="K29" s="24">
        <f t="shared" si="6"/>
        <v>0</v>
      </c>
      <c r="L29" s="25"/>
      <c r="M29" s="21"/>
      <c r="N29" s="21"/>
      <c r="O29" s="23"/>
      <c r="P29" s="24">
        <f t="shared" si="7"/>
        <v>0</v>
      </c>
      <c r="Q29" s="20">
        <f t="shared" si="8"/>
        <v>0</v>
      </c>
      <c r="R29" s="26">
        <f t="shared" si="9"/>
        <v>0</v>
      </c>
      <c r="S29" s="11"/>
      <c r="T29" s="11"/>
    </row>
    <row r="30" spans="1:20" x14ac:dyDescent="0.25">
      <c r="A30" s="3"/>
      <c r="B30" s="4"/>
      <c r="C30" s="50"/>
      <c r="D30" s="51"/>
      <c r="E30" s="21"/>
      <c r="F30" s="21"/>
      <c r="G30" s="21"/>
      <c r="H30" s="23"/>
      <c r="I30" s="23">
        <f t="shared" si="5"/>
        <v>0</v>
      </c>
      <c r="J30" s="23"/>
      <c r="K30" s="24">
        <f t="shared" si="6"/>
        <v>0</v>
      </c>
      <c r="L30" s="25"/>
      <c r="M30" s="21"/>
      <c r="N30" s="21"/>
      <c r="O30" s="23"/>
      <c r="P30" s="24">
        <f t="shared" si="7"/>
        <v>0</v>
      </c>
      <c r="Q30" s="20">
        <f t="shared" si="8"/>
        <v>0</v>
      </c>
      <c r="R30" s="26">
        <f t="shared" si="9"/>
        <v>0</v>
      </c>
      <c r="S30" s="11"/>
      <c r="T30" s="11"/>
    </row>
    <row r="31" spans="1:20" x14ac:dyDescent="0.25">
      <c r="A31" s="3"/>
      <c r="B31" s="4"/>
      <c r="C31" s="50"/>
      <c r="D31" s="51"/>
      <c r="E31" s="21"/>
      <c r="F31" s="21"/>
      <c r="G31" s="21"/>
      <c r="H31" s="23"/>
      <c r="I31" s="23">
        <f t="shared" si="5"/>
        <v>0</v>
      </c>
      <c r="J31" s="23"/>
      <c r="K31" s="24">
        <f t="shared" si="6"/>
        <v>0</v>
      </c>
      <c r="L31" s="25"/>
      <c r="M31" s="21"/>
      <c r="N31" s="21"/>
      <c r="O31" s="23"/>
      <c r="P31" s="24">
        <f t="shared" si="7"/>
        <v>0</v>
      </c>
      <c r="Q31" s="20">
        <f t="shared" si="8"/>
        <v>0</v>
      </c>
      <c r="R31" s="26">
        <f t="shared" si="9"/>
        <v>0</v>
      </c>
      <c r="S31" s="11"/>
      <c r="T31" s="11"/>
    </row>
    <row r="32" spans="1:20" x14ac:dyDescent="0.25">
      <c r="A32" s="3"/>
      <c r="B32" s="4"/>
      <c r="C32" s="50"/>
      <c r="D32" s="51"/>
      <c r="E32" s="21"/>
      <c r="F32" s="21"/>
      <c r="G32" s="21"/>
      <c r="H32" s="23"/>
      <c r="I32" s="23">
        <f t="shared" si="5"/>
        <v>0</v>
      </c>
      <c r="J32" s="23"/>
      <c r="K32" s="24">
        <f t="shared" si="6"/>
        <v>0</v>
      </c>
      <c r="L32" s="25"/>
      <c r="M32" s="21"/>
      <c r="N32" s="21"/>
      <c r="O32" s="23"/>
      <c r="P32" s="24">
        <f t="shared" si="7"/>
        <v>0</v>
      </c>
      <c r="Q32" s="20">
        <f t="shared" si="8"/>
        <v>0</v>
      </c>
      <c r="R32" s="26">
        <f t="shared" si="9"/>
        <v>0</v>
      </c>
      <c r="S32" s="11"/>
      <c r="T32" s="11"/>
    </row>
    <row r="33" spans="1:20" x14ac:dyDescent="0.25">
      <c r="A33" s="3"/>
      <c r="B33" s="4"/>
      <c r="C33" s="50"/>
      <c r="D33" s="51"/>
      <c r="E33" s="21"/>
      <c r="F33" s="21"/>
      <c r="G33" s="21"/>
      <c r="H33" s="23"/>
      <c r="I33" s="23">
        <f t="shared" si="5"/>
        <v>0</v>
      </c>
      <c r="J33" s="23"/>
      <c r="K33" s="24">
        <f t="shared" si="6"/>
        <v>0</v>
      </c>
      <c r="L33" s="25"/>
      <c r="M33" s="21"/>
      <c r="N33" s="21"/>
      <c r="O33" s="23"/>
      <c r="P33" s="24">
        <f t="shared" si="7"/>
        <v>0</v>
      </c>
      <c r="Q33" s="20">
        <f t="shared" si="8"/>
        <v>0</v>
      </c>
      <c r="R33" s="26">
        <f t="shared" si="9"/>
        <v>0</v>
      </c>
      <c r="S33" s="11"/>
      <c r="T33" s="11"/>
    </row>
    <row r="34" spans="1:20" x14ac:dyDescent="0.25">
      <c r="A34" s="3"/>
      <c r="B34" s="4"/>
      <c r="C34" s="50"/>
      <c r="D34" s="51"/>
      <c r="E34" s="21"/>
      <c r="F34" s="21"/>
      <c r="G34" s="21"/>
      <c r="H34" s="23"/>
      <c r="I34" s="23">
        <f t="shared" si="5"/>
        <v>0</v>
      </c>
      <c r="J34" s="23"/>
      <c r="K34" s="24">
        <f t="shared" si="6"/>
        <v>0</v>
      </c>
      <c r="L34" s="25"/>
      <c r="M34" s="21"/>
      <c r="N34" s="21"/>
      <c r="O34" s="23"/>
      <c r="P34" s="24">
        <f t="shared" si="7"/>
        <v>0</v>
      </c>
      <c r="Q34" s="20">
        <f t="shared" si="8"/>
        <v>0</v>
      </c>
      <c r="R34" s="26">
        <f t="shared" si="9"/>
        <v>0</v>
      </c>
      <c r="S34" s="11"/>
      <c r="T34" s="11"/>
    </row>
    <row r="35" spans="1:20" ht="30" customHeight="1" x14ac:dyDescent="0.25">
      <c r="A35" s="3"/>
      <c r="B35" s="41"/>
      <c r="C35" s="50"/>
      <c r="D35" s="51"/>
      <c r="E35" s="21"/>
      <c r="F35" s="21"/>
      <c r="G35" s="21"/>
      <c r="H35" s="23"/>
      <c r="I35" s="23">
        <f t="shared" si="5"/>
        <v>0</v>
      </c>
      <c r="J35" s="23"/>
      <c r="K35" s="24">
        <f t="shared" si="6"/>
        <v>0</v>
      </c>
      <c r="L35" s="25"/>
      <c r="M35" s="21"/>
      <c r="N35" s="21"/>
      <c r="O35" s="23"/>
      <c r="P35" s="24">
        <f t="shared" si="7"/>
        <v>0</v>
      </c>
      <c r="Q35" s="20">
        <f t="shared" si="8"/>
        <v>0</v>
      </c>
      <c r="R35" s="26">
        <f t="shared" si="9"/>
        <v>0</v>
      </c>
      <c r="S35" s="11"/>
      <c r="T35" s="11"/>
    </row>
    <row r="36" spans="1:20" ht="24.75" customHeight="1" x14ac:dyDescent="0.25">
      <c r="A36" s="3"/>
      <c r="B36" s="41"/>
      <c r="C36" s="50"/>
      <c r="D36" s="51"/>
      <c r="E36" s="21"/>
      <c r="F36" s="21"/>
      <c r="G36" s="21"/>
      <c r="H36" s="23"/>
      <c r="I36" s="23">
        <f t="shared" si="5"/>
        <v>0</v>
      </c>
      <c r="J36" s="23"/>
      <c r="K36" s="24">
        <f t="shared" si="6"/>
        <v>0</v>
      </c>
      <c r="L36" s="25"/>
      <c r="M36" s="21"/>
      <c r="N36" s="21"/>
      <c r="O36" s="23"/>
      <c r="P36" s="24">
        <f t="shared" si="7"/>
        <v>0</v>
      </c>
      <c r="Q36" s="20">
        <f t="shared" si="8"/>
        <v>0</v>
      </c>
      <c r="R36" s="26">
        <f t="shared" si="9"/>
        <v>0</v>
      </c>
      <c r="S36" s="11"/>
      <c r="T36" s="11"/>
    </row>
    <row r="37" spans="1:20" ht="39.75" customHeight="1" x14ac:dyDescent="0.25">
      <c r="A37" s="3"/>
      <c r="B37" s="41"/>
      <c r="C37" s="50"/>
      <c r="D37" s="51"/>
      <c r="E37" s="21"/>
      <c r="F37" s="21"/>
      <c r="G37" s="21"/>
      <c r="H37" s="23"/>
      <c r="I37" s="23">
        <f t="shared" si="5"/>
        <v>0</v>
      </c>
      <c r="J37" s="23"/>
      <c r="K37" s="24">
        <f t="shared" si="6"/>
        <v>0</v>
      </c>
      <c r="L37" s="25"/>
      <c r="M37" s="21"/>
      <c r="N37" s="21"/>
      <c r="O37" s="23"/>
      <c r="P37" s="24">
        <f t="shared" si="7"/>
        <v>0</v>
      </c>
      <c r="Q37" s="20">
        <f t="shared" si="8"/>
        <v>0</v>
      </c>
      <c r="R37" s="26">
        <f t="shared" si="9"/>
        <v>0</v>
      </c>
      <c r="S37" s="11"/>
      <c r="T37" s="11"/>
    </row>
    <row r="38" spans="1:20" ht="55.5" customHeight="1" x14ac:dyDescent="0.25">
      <c r="A38" s="42"/>
      <c r="B38" s="42"/>
      <c r="C38" s="34"/>
      <c r="D38" s="35"/>
      <c r="E38" s="21"/>
      <c r="F38" s="21"/>
      <c r="G38" s="21"/>
      <c r="H38" s="23"/>
      <c r="I38" s="23">
        <f t="shared" si="5"/>
        <v>0</v>
      </c>
      <c r="J38" s="23"/>
      <c r="K38" s="24">
        <f t="shared" si="6"/>
        <v>0</v>
      </c>
      <c r="L38" s="25"/>
      <c r="M38" s="21"/>
      <c r="N38" s="21"/>
      <c r="O38" s="23"/>
      <c r="P38" s="24">
        <f t="shared" si="7"/>
        <v>0</v>
      </c>
      <c r="Q38" s="20">
        <f t="shared" si="8"/>
        <v>0</v>
      </c>
      <c r="R38" s="26">
        <f t="shared" si="9"/>
        <v>0</v>
      </c>
      <c r="S38" s="11"/>
      <c r="T38" s="11"/>
    </row>
    <row r="39" spans="1:20" ht="55.5" customHeight="1" x14ac:dyDescent="0.25">
      <c r="A39" s="3"/>
      <c r="B39" s="41"/>
      <c r="C39" s="34"/>
      <c r="D39" s="35"/>
      <c r="E39" s="21"/>
      <c r="F39" s="21"/>
      <c r="G39" s="21"/>
      <c r="H39" s="23"/>
      <c r="I39" s="23">
        <f t="shared" ref="I39:I42" si="10">(E39+G39+H39)*12%</f>
        <v>0</v>
      </c>
      <c r="J39" s="23"/>
      <c r="K39" s="24">
        <f t="shared" ref="K39:K42" si="11">SUM(E39:J39)</f>
        <v>0</v>
      </c>
      <c r="L39" s="25"/>
      <c r="M39" s="21"/>
      <c r="N39" s="21"/>
      <c r="O39" s="23"/>
      <c r="P39" s="24">
        <f t="shared" ref="P39:P42" si="12">SUM(L39:O39)</f>
        <v>0</v>
      </c>
      <c r="Q39" s="20">
        <f t="shared" ref="Q39:Q42" si="13">C39+D39+K39-P39</f>
        <v>0</v>
      </c>
      <c r="R39" s="26">
        <f t="shared" ref="R39:R42" si="14">C39+D39+K39-P39</f>
        <v>0</v>
      </c>
      <c r="S39" s="11"/>
      <c r="T39" s="11"/>
    </row>
    <row r="40" spans="1:20" ht="55.5" customHeight="1" x14ac:dyDescent="0.25">
      <c r="A40" s="48"/>
      <c r="B40" s="41"/>
      <c r="C40" s="34"/>
      <c r="D40" s="35"/>
      <c r="E40" s="21"/>
      <c r="F40" s="21"/>
      <c r="G40" s="21"/>
      <c r="H40" s="23"/>
      <c r="I40" s="23">
        <f t="shared" si="10"/>
        <v>0</v>
      </c>
      <c r="J40" s="23"/>
      <c r="K40" s="24">
        <f t="shared" si="11"/>
        <v>0</v>
      </c>
      <c r="L40" s="25"/>
      <c r="M40" s="21"/>
      <c r="N40" s="21"/>
      <c r="O40" s="23"/>
      <c r="P40" s="24">
        <f t="shared" si="12"/>
        <v>0</v>
      </c>
      <c r="Q40" s="20">
        <f t="shared" si="13"/>
        <v>0</v>
      </c>
      <c r="R40" s="26">
        <f t="shared" si="14"/>
        <v>0</v>
      </c>
      <c r="S40" s="11"/>
      <c r="T40" s="11"/>
    </row>
    <row r="41" spans="1:20" ht="55.5" customHeight="1" x14ac:dyDescent="0.25">
      <c r="A41" s="48"/>
      <c r="B41" s="41"/>
      <c r="C41" s="34"/>
      <c r="D41" s="35"/>
      <c r="E41" s="21"/>
      <c r="F41" s="21"/>
      <c r="G41" s="21"/>
      <c r="H41" s="23"/>
      <c r="I41" s="23">
        <f t="shared" si="10"/>
        <v>0</v>
      </c>
      <c r="J41" s="23"/>
      <c r="K41" s="24">
        <f t="shared" si="11"/>
        <v>0</v>
      </c>
      <c r="L41" s="25"/>
      <c r="M41" s="21"/>
      <c r="N41" s="21"/>
      <c r="O41" s="23"/>
      <c r="P41" s="24">
        <f t="shared" si="12"/>
        <v>0</v>
      </c>
      <c r="Q41" s="20">
        <f t="shared" si="13"/>
        <v>0</v>
      </c>
      <c r="R41" s="26">
        <f t="shared" si="14"/>
        <v>0</v>
      </c>
      <c r="S41" s="11"/>
      <c r="T41" s="11"/>
    </row>
    <row r="42" spans="1:20" ht="16.5" thickBot="1" x14ac:dyDescent="0.3">
      <c r="A42" s="3"/>
      <c r="B42" s="4"/>
      <c r="C42" s="20"/>
      <c r="D42" s="21"/>
      <c r="E42" s="21"/>
      <c r="F42" s="21"/>
      <c r="G42" s="21"/>
      <c r="H42" s="23"/>
      <c r="I42" s="23">
        <f t="shared" si="10"/>
        <v>0</v>
      </c>
      <c r="J42" s="23"/>
      <c r="K42" s="24">
        <f t="shared" si="11"/>
        <v>0</v>
      </c>
      <c r="L42" s="25"/>
      <c r="M42" s="21"/>
      <c r="N42" s="21"/>
      <c r="O42" s="23"/>
      <c r="P42" s="24">
        <f t="shared" si="12"/>
        <v>0</v>
      </c>
      <c r="Q42" s="20">
        <f t="shared" si="13"/>
        <v>0</v>
      </c>
      <c r="R42" s="26">
        <f t="shared" si="14"/>
        <v>0</v>
      </c>
      <c r="S42" s="11"/>
      <c r="T42" s="11"/>
    </row>
    <row r="43" spans="1:20" ht="16.5" thickBot="1" x14ac:dyDescent="0.3">
      <c r="A43" s="29" t="s">
        <v>14</v>
      </c>
      <c r="B43" s="30"/>
      <c r="C43" s="31">
        <f t="shared" ref="C43:R43" si="15">SUM(C4:C42)</f>
        <v>0</v>
      </c>
      <c r="D43" s="31">
        <f t="shared" si="15"/>
        <v>0</v>
      </c>
      <c r="E43" s="31">
        <f t="shared" si="15"/>
        <v>0</v>
      </c>
      <c r="F43" s="31">
        <f t="shared" si="15"/>
        <v>0</v>
      </c>
      <c r="G43" s="31">
        <f t="shared" si="15"/>
        <v>0</v>
      </c>
      <c r="H43" s="31">
        <f t="shared" si="15"/>
        <v>0</v>
      </c>
      <c r="I43" s="31">
        <f t="shared" si="15"/>
        <v>0</v>
      </c>
      <c r="J43" s="31">
        <f t="shared" si="15"/>
        <v>0</v>
      </c>
      <c r="K43" s="31">
        <f t="shared" si="15"/>
        <v>0</v>
      </c>
      <c r="L43" s="31">
        <f t="shared" si="15"/>
        <v>0</v>
      </c>
      <c r="M43" s="31">
        <f t="shared" si="15"/>
        <v>0</v>
      </c>
      <c r="N43" s="31">
        <f t="shared" si="15"/>
        <v>0</v>
      </c>
      <c r="O43" s="31">
        <f t="shared" si="15"/>
        <v>0</v>
      </c>
      <c r="P43" s="31">
        <f t="shared" si="15"/>
        <v>0</v>
      </c>
      <c r="Q43" s="31">
        <f t="shared" si="15"/>
        <v>0</v>
      </c>
      <c r="R43" s="31">
        <f t="shared" si="15"/>
        <v>0</v>
      </c>
      <c r="S43" s="11"/>
      <c r="T43" s="11"/>
    </row>
    <row r="44" spans="1:20" x14ac:dyDescent="0.25">
      <c r="A44" s="10"/>
      <c r="B44" s="1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>
        <f>C43+D43+K43-P43-Q43</f>
        <v>0</v>
      </c>
      <c r="S44" s="11"/>
      <c r="T44" s="11"/>
    </row>
    <row r="45" spans="1:20" x14ac:dyDescent="0.25">
      <c r="A45" s="10"/>
      <c r="B45" s="11"/>
      <c r="C45" s="32"/>
      <c r="D45" s="32"/>
      <c r="E45" s="32">
        <f>'[1]10'!E103+'[1]11'!E104</f>
        <v>1049433769.52</v>
      </c>
      <c r="F45" s="32">
        <f>'[1]10'!F103+'[1]11'!F104</f>
        <v>329690000</v>
      </c>
      <c r="G45" s="32">
        <f>'[1]10'!G103+'[1]11'!G104</f>
        <v>138637214.29000002</v>
      </c>
      <c r="H45" s="32">
        <f>'[1]10'!H103+'[1]11'!H104</f>
        <v>1067941891.4200001</v>
      </c>
      <c r="I45" s="32">
        <f>'[1]10'!I103+'[1]11'!I104</f>
        <v>185056598.39879999</v>
      </c>
      <c r="J45" s="32">
        <f>'[1]10'!J103+'[1]11'!J104</f>
        <v>367366312.3344</v>
      </c>
      <c r="K45" s="32">
        <f>'[1]10'!K103+'[1]11'!K104</f>
        <v>10263036820.577999</v>
      </c>
      <c r="L45" s="32">
        <f>'[1]10'!L103+'[1]11'!L104</f>
        <v>9896865667.4200001</v>
      </c>
      <c r="M45" s="32">
        <f>'[1]10'!M103+'[1]11'!M104</f>
        <v>0</v>
      </c>
      <c r="N45" s="32">
        <f>'[1]10'!N103+'[1]11'!N104</f>
        <v>940500</v>
      </c>
      <c r="O45" s="32">
        <f>'[1]10'!O103+'[1]11'!O104</f>
        <v>0</v>
      </c>
      <c r="P45" s="32">
        <f>'[1]10'!P103+'[1]11'!P104</f>
        <v>9897806167.4200001</v>
      </c>
      <c r="Q45" s="32">
        <f>'[1]10'!Q103+'[1]11'!Q104</f>
        <v>-1724897139.0995996</v>
      </c>
      <c r="R45" s="32">
        <f>'[1]10'!R103+'[1]11'!R104</f>
        <v>1155083989.4664004</v>
      </c>
      <c r="S45" s="11"/>
      <c r="T45" s="11"/>
    </row>
  </sheetData>
  <protectedRanges>
    <protectedRange sqref="A27:A41" name="Диапазон1_10_1_1_2"/>
    <protectedRange sqref="A7:B7" name="Диапазон1_26"/>
  </protectedRanges>
  <mergeCells count="8">
    <mergeCell ref="A2:A3"/>
    <mergeCell ref="B2:B3"/>
    <mergeCell ref="D1:J1"/>
    <mergeCell ref="P2:P3"/>
    <mergeCell ref="K2:K3"/>
    <mergeCell ref="E2:J2"/>
    <mergeCell ref="L1:M1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Tommik Montanov</dc:creator>
  <cp:lastModifiedBy>Tommik Montanov</cp:lastModifiedBy>
  <dcterms:created xsi:type="dcterms:W3CDTF">2015-06-05T18:19:34Z</dcterms:created>
  <dcterms:modified xsi:type="dcterms:W3CDTF">2026-04-15T12:42:08Z</dcterms:modified>
</cp:coreProperties>
</file>