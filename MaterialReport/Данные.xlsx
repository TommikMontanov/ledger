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A6B4A19B-50D1-49B3-B273-CCE7733FBD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" i="1" l="1"/>
  <c r="AV8" i="1" s="1"/>
  <c r="AX8" i="1" s="1"/>
  <c r="AS8" i="1"/>
  <c r="AW8" i="1" s="1"/>
  <c r="AY8" i="1" s="1"/>
  <c r="BA8" i="1" s="1"/>
  <c r="AR9" i="1"/>
  <c r="AV9" i="1" s="1"/>
  <c r="AX9" i="1" s="1"/>
  <c r="AS9" i="1"/>
  <c r="AW9" i="1" s="1"/>
  <c r="AY9" i="1" s="1"/>
  <c r="BA9" i="1"/>
  <c r="AR10" i="1"/>
  <c r="AV10" i="1" s="1"/>
  <c r="AX10" i="1" s="1"/>
  <c r="AS10" i="1"/>
  <c r="AW10" i="1" s="1"/>
  <c r="AY10" i="1" s="1"/>
  <c r="BA10" i="1" s="1"/>
  <c r="AR11" i="1"/>
  <c r="AV11" i="1" s="1"/>
  <c r="AX11" i="1" s="1"/>
  <c r="AS11" i="1"/>
  <c r="AW11" i="1" s="1"/>
  <c r="AY11" i="1" s="1"/>
  <c r="BA11" i="1"/>
  <c r="AR12" i="1"/>
  <c r="AV12" i="1" s="1"/>
  <c r="AX12" i="1" s="1"/>
  <c r="AS12" i="1"/>
  <c r="AW12" i="1" s="1"/>
  <c r="AY12" i="1" s="1"/>
  <c r="BA12" i="1"/>
  <c r="AR13" i="1"/>
  <c r="AV13" i="1" s="1"/>
  <c r="AX13" i="1" s="1"/>
  <c r="AS13" i="1"/>
  <c r="AW13" i="1" s="1"/>
  <c r="AY13" i="1" s="1"/>
  <c r="BA13" i="1"/>
  <c r="AR14" i="1"/>
  <c r="AV14" i="1" s="1"/>
  <c r="AX14" i="1" s="1"/>
  <c r="AS14" i="1"/>
  <c r="AW14" i="1" s="1"/>
  <c r="AY14" i="1" s="1"/>
  <c r="BA14" i="1" s="1"/>
  <c r="AR15" i="1"/>
  <c r="AV15" i="1" s="1"/>
  <c r="AX15" i="1" s="1"/>
  <c r="AS15" i="1"/>
  <c r="AW15" i="1" s="1"/>
  <c r="AY15" i="1" s="1"/>
  <c r="BA15" i="1"/>
  <c r="AR16" i="1"/>
  <c r="AV16" i="1" s="1"/>
  <c r="AX16" i="1" s="1"/>
  <c r="AS16" i="1"/>
  <c r="AW16" i="1" s="1"/>
  <c r="AY16" i="1" s="1"/>
  <c r="BA16" i="1" s="1"/>
  <c r="AR17" i="1"/>
  <c r="AV17" i="1" s="1"/>
  <c r="AX17" i="1" s="1"/>
  <c r="AS17" i="1"/>
  <c r="AW17" i="1" s="1"/>
  <c r="AY17" i="1" s="1"/>
  <c r="BA17" i="1"/>
  <c r="AR18" i="1"/>
  <c r="AS18" i="1"/>
  <c r="AW18" i="1" s="1"/>
  <c r="AY18" i="1" s="1"/>
  <c r="AR19" i="1"/>
  <c r="AS19" i="1"/>
  <c r="AW19" i="1" s="1"/>
  <c r="AY19" i="1" s="1"/>
  <c r="BA19" i="1"/>
  <c r="AR20" i="1"/>
  <c r="AS20" i="1"/>
  <c r="AW20" i="1" s="1"/>
  <c r="AY20" i="1" s="1"/>
  <c r="BA20" i="1" s="1"/>
  <c r="AR21" i="1"/>
  <c r="AS21" i="1"/>
  <c r="AW21" i="1" s="1"/>
  <c r="AY21" i="1" s="1"/>
  <c r="BA21" i="1"/>
  <c r="AR22" i="1"/>
  <c r="AS22" i="1"/>
  <c r="AW22" i="1" s="1"/>
  <c r="AY22" i="1" s="1"/>
  <c r="AR23" i="1"/>
  <c r="AS23" i="1"/>
  <c r="AW23" i="1" s="1"/>
  <c r="AY23" i="1" s="1"/>
  <c r="BA23" i="1"/>
  <c r="AR24" i="1"/>
  <c r="AS24" i="1"/>
  <c r="AW24" i="1" s="1"/>
  <c r="AY24" i="1" s="1"/>
  <c r="AR25" i="1"/>
  <c r="AS25" i="1"/>
  <c r="AW25" i="1" s="1"/>
  <c r="AY25" i="1" s="1"/>
  <c r="BA25" i="1" s="1"/>
  <c r="AR26" i="1"/>
  <c r="AS26" i="1"/>
  <c r="AW26" i="1" s="1"/>
  <c r="AY26" i="1" s="1"/>
  <c r="AR27" i="1"/>
  <c r="AS27" i="1"/>
  <c r="AW27" i="1" s="1"/>
  <c r="AY27" i="1" s="1"/>
  <c r="BA27" i="1"/>
  <c r="AR28" i="1"/>
  <c r="AS28" i="1"/>
  <c r="AW28" i="1" s="1"/>
  <c r="AY28" i="1" s="1"/>
  <c r="BA28" i="1" s="1"/>
  <c r="AR29" i="1"/>
  <c r="AS29" i="1"/>
  <c r="AW29" i="1" s="1"/>
  <c r="AY29" i="1" s="1"/>
  <c r="BA29" i="1"/>
  <c r="AR30" i="1"/>
  <c r="AS30" i="1"/>
  <c r="AW30" i="1" s="1"/>
  <c r="AY30" i="1" s="1"/>
  <c r="AR31" i="1"/>
  <c r="AS31" i="1"/>
  <c r="AW31" i="1" s="1"/>
  <c r="AY31" i="1" s="1"/>
  <c r="BA31" i="1"/>
  <c r="AR32" i="1"/>
  <c r="AS32" i="1"/>
  <c r="AW32" i="1" s="1"/>
  <c r="AY32" i="1" s="1"/>
  <c r="AR33" i="1"/>
  <c r="AS33" i="1"/>
  <c r="AW33" i="1" s="1"/>
  <c r="AY33" i="1" s="1"/>
  <c r="BA33" i="1"/>
  <c r="AR34" i="1"/>
  <c r="AS34" i="1"/>
  <c r="AW34" i="1" s="1"/>
  <c r="AY34" i="1" s="1"/>
  <c r="AR35" i="1"/>
  <c r="AS35" i="1"/>
  <c r="AW35" i="1" s="1"/>
  <c r="AY35" i="1" s="1"/>
  <c r="BA35" i="1"/>
  <c r="AR36" i="1"/>
  <c r="AS36" i="1"/>
  <c r="AW36" i="1" s="1"/>
  <c r="AY36" i="1" s="1"/>
  <c r="AR37" i="1"/>
  <c r="AS37" i="1"/>
  <c r="AW37" i="1" s="1"/>
  <c r="AY37" i="1" s="1"/>
  <c r="BA37" i="1"/>
  <c r="AR38" i="1"/>
  <c r="AS38" i="1"/>
  <c r="AW38" i="1" s="1"/>
  <c r="AY38" i="1" s="1"/>
  <c r="AR39" i="1"/>
  <c r="AS39" i="1"/>
  <c r="AW39" i="1" s="1"/>
  <c r="AY39" i="1" s="1"/>
  <c r="BA39" i="1"/>
  <c r="AR40" i="1"/>
  <c r="AS40" i="1"/>
  <c r="AW40" i="1" s="1"/>
  <c r="AY40" i="1" s="1"/>
  <c r="AR41" i="1"/>
  <c r="AS41" i="1"/>
  <c r="AW41" i="1" s="1"/>
  <c r="AY41" i="1" s="1"/>
  <c r="AR42" i="1"/>
  <c r="AS42" i="1"/>
  <c r="AW42" i="1" s="1"/>
  <c r="AY42" i="1" s="1"/>
  <c r="AR43" i="1"/>
  <c r="AS43" i="1"/>
  <c r="AW43" i="1" s="1"/>
  <c r="AY43" i="1" s="1"/>
  <c r="BA43" i="1"/>
  <c r="AR44" i="1"/>
  <c r="AS44" i="1"/>
  <c r="AW44" i="1" s="1"/>
  <c r="AY44" i="1" s="1"/>
  <c r="BA44" i="1" s="1"/>
  <c r="AR45" i="1"/>
  <c r="AS45" i="1"/>
  <c r="AW45" i="1" s="1"/>
  <c r="AY45" i="1" s="1"/>
  <c r="BA45" i="1"/>
  <c r="AR46" i="1"/>
  <c r="AS46" i="1"/>
  <c r="AW46" i="1" s="1"/>
  <c r="AY46" i="1" s="1"/>
  <c r="AR47" i="1"/>
  <c r="AS47" i="1"/>
  <c r="AW47" i="1" s="1"/>
  <c r="AY47" i="1" s="1"/>
  <c r="BA47" i="1"/>
  <c r="AR48" i="1"/>
  <c r="AS48" i="1"/>
  <c r="AW48" i="1" s="1"/>
  <c r="AY48" i="1" s="1"/>
  <c r="AR49" i="1"/>
  <c r="AS49" i="1"/>
  <c r="AW49" i="1" s="1"/>
  <c r="AY49" i="1" s="1"/>
  <c r="AR50" i="1"/>
  <c r="AS50" i="1"/>
  <c r="AW50" i="1" s="1"/>
  <c r="AY50" i="1" s="1"/>
  <c r="AR51" i="1"/>
  <c r="AS51" i="1"/>
  <c r="AW51" i="1" s="1"/>
  <c r="AY51" i="1" s="1"/>
  <c r="BA51" i="1"/>
  <c r="AR52" i="1"/>
  <c r="AS52" i="1"/>
  <c r="AW52" i="1" s="1"/>
  <c r="AY52" i="1" s="1"/>
  <c r="BA52" i="1" s="1"/>
  <c r="AR53" i="1"/>
  <c r="AS53" i="1"/>
  <c r="AW53" i="1" s="1"/>
  <c r="AY53" i="1" s="1"/>
  <c r="BA53" i="1"/>
  <c r="AR54" i="1"/>
  <c r="AS54" i="1"/>
  <c r="AW54" i="1" s="1"/>
  <c r="AY54" i="1" s="1"/>
  <c r="AR55" i="1"/>
  <c r="AS55" i="1"/>
  <c r="AW55" i="1" s="1"/>
  <c r="AY55" i="1" s="1"/>
  <c r="BA55" i="1"/>
  <c r="AR56" i="1"/>
  <c r="AS56" i="1"/>
  <c r="AW56" i="1" s="1"/>
  <c r="AY56" i="1" s="1"/>
  <c r="AR57" i="1"/>
  <c r="AS57" i="1"/>
  <c r="AW57" i="1" s="1"/>
  <c r="AY57" i="1" s="1"/>
  <c r="AR58" i="1"/>
  <c r="AS58" i="1"/>
  <c r="AW58" i="1" s="1"/>
  <c r="AY58" i="1" s="1"/>
  <c r="AR59" i="1"/>
  <c r="AS59" i="1"/>
  <c r="AW59" i="1" s="1"/>
  <c r="AY59" i="1" s="1"/>
  <c r="AR60" i="1"/>
  <c r="AS60" i="1"/>
  <c r="AW60" i="1" s="1"/>
  <c r="AY60" i="1" s="1"/>
  <c r="BA60" i="1"/>
  <c r="AR61" i="1"/>
  <c r="AS61" i="1"/>
  <c r="AW61" i="1" s="1"/>
  <c r="AY61" i="1" s="1"/>
  <c r="AR62" i="1"/>
  <c r="AS62" i="1"/>
  <c r="AW62" i="1" s="1"/>
  <c r="AY62" i="1" s="1"/>
  <c r="BA62" i="1" s="1"/>
  <c r="AR63" i="1"/>
  <c r="AS63" i="1"/>
  <c r="AW63" i="1" s="1"/>
  <c r="AY63" i="1"/>
  <c r="AR64" i="1"/>
  <c r="AS64" i="1"/>
  <c r="AW64" i="1" s="1"/>
  <c r="AY64" i="1" s="1"/>
  <c r="AR65" i="1"/>
  <c r="AS65" i="1"/>
  <c r="AW65" i="1" s="1"/>
  <c r="AY65" i="1"/>
  <c r="AR66" i="1"/>
  <c r="AS66" i="1"/>
  <c r="AW66" i="1" s="1"/>
  <c r="AY66" i="1" s="1"/>
  <c r="AR67" i="1"/>
  <c r="AS67" i="1"/>
  <c r="AW67" i="1" s="1"/>
  <c r="AY67" i="1"/>
  <c r="AR68" i="1"/>
  <c r="AS68" i="1"/>
  <c r="AW68" i="1" s="1"/>
  <c r="AY68" i="1" s="1"/>
  <c r="AR69" i="1"/>
  <c r="AS69" i="1"/>
  <c r="AW69" i="1" s="1"/>
  <c r="AY69" i="1"/>
  <c r="AR70" i="1"/>
  <c r="AV70" i="1" s="1"/>
  <c r="AX70" i="1" s="1"/>
  <c r="AS70" i="1"/>
  <c r="AW70" i="1" s="1"/>
  <c r="AY70" i="1" s="1"/>
  <c r="BA70" i="1" s="1"/>
  <c r="AR71" i="1"/>
  <c r="AV71" i="1" s="1"/>
  <c r="AX71" i="1" s="1"/>
  <c r="AS71" i="1"/>
  <c r="AW71" i="1" s="1"/>
  <c r="AY71" i="1"/>
  <c r="AR72" i="1"/>
  <c r="AS72" i="1"/>
  <c r="AW72" i="1" s="1"/>
  <c r="AV72" i="1"/>
  <c r="AX72" i="1" s="1"/>
  <c r="AY72" i="1"/>
  <c r="BA72" i="1"/>
  <c r="AR73" i="1"/>
  <c r="AS73" i="1"/>
  <c r="AW73" i="1" s="1"/>
  <c r="AY73" i="1" s="1"/>
  <c r="AV73" i="1"/>
  <c r="AX73" i="1" s="1"/>
  <c r="AR74" i="1"/>
  <c r="AS74" i="1"/>
  <c r="AW74" i="1" s="1"/>
  <c r="AY74" i="1" s="1"/>
  <c r="BA74" i="1" s="1"/>
  <c r="AR75" i="1"/>
  <c r="AV75" i="1" s="1"/>
  <c r="AX75" i="1" s="1"/>
  <c r="AS75" i="1"/>
  <c r="AW75" i="1" s="1"/>
  <c r="AY75" i="1"/>
  <c r="BA75" i="1" s="1"/>
  <c r="AR76" i="1"/>
  <c r="AS76" i="1"/>
  <c r="AW76" i="1" s="1"/>
  <c r="AV76" i="1"/>
  <c r="AX76" i="1" s="1"/>
  <c r="AY76" i="1"/>
  <c r="AR77" i="1"/>
  <c r="AS77" i="1"/>
  <c r="AW77" i="1" s="1"/>
  <c r="AY77" i="1" s="1"/>
  <c r="AV77" i="1"/>
  <c r="AX77" i="1" s="1"/>
  <c r="AR78" i="1"/>
  <c r="AV78" i="1" s="1"/>
  <c r="AX78" i="1" s="1"/>
  <c r="AS78" i="1"/>
  <c r="AW78" i="1" s="1"/>
  <c r="AY78" i="1" s="1"/>
  <c r="BA78" i="1" s="1"/>
  <c r="AR79" i="1"/>
  <c r="AV79" i="1" s="1"/>
  <c r="AX79" i="1" s="1"/>
  <c r="AS79" i="1"/>
  <c r="AW79" i="1" s="1"/>
  <c r="AY79" i="1" s="1"/>
  <c r="AR80" i="1"/>
  <c r="AS80" i="1"/>
  <c r="AW80" i="1" s="1"/>
  <c r="AV80" i="1"/>
  <c r="AX80" i="1" s="1"/>
  <c r="AY80" i="1"/>
  <c r="BA80" i="1"/>
  <c r="AR81" i="1"/>
  <c r="AS81" i="1"/>
  <c r="AW81" i="1" s="1"/>
  <c r="AY81" i="1" s="1"/>
  <c r="AV81" i="1"/>
  <c r="AX81" i="1" s="1"/>
  <c r="AR82" i="1"/>
  <c r="AS82" i="1"/>
  <c r="AW82" i="1" s="1"/>
  <c r="AY82" i="1" s="1"/>
  <c r="BA82" i="1" s="1"/>
  <c r="AR83" i="1"/>
  <c r="AV83" i="1" s="1"/>
  <c r="AX83" i="1" s="1"/>
  <c r="AS83" i="1"/>
  <c r="AW83" i="1" s="1"/>
  <c r="AY83" i="1"/>
  <c r="BA83" i="1" s="1"/>
  <c r="AR84" i="1"/>
  <c r="AV84" i="1" s="1"/>
  <c r="AX84" i="1" s="1"/>
  <c r="AS84" i="1"/>
  <c r="AW84" i="1" s="1"/>
  <c r="AY84" i="1"/>
  <c r="AR85" i="1"/>
  <c r="AS85" i="1"/>
  <c r="AW85" i="1" s="1"/>
  <c r="AY85" i="1" s="1"/>
  <c r="AV85" i="1"/>
  <c r="AX85" i="1" s="1"/>
  <c r="AR86" i="1"/>
  <c r="AV86" i="1" s="1"/>
  <c r="AX86" i="1" s="1"/>
  <c r="AS86" i="1"/>
  <c r="AW86" i="1" s="1"/>
  <c r="AY86" i="1" s="1"/>
  <c r="BA86" i="1" s="1"/>
  <c r="AR87" i="1"/>
  <c r="AV87" i="1" s="1"/>
  <c r="AX87" i="1" s="1"/>
  <c r="AS87" i="1"/>
  <c r="AW87" i="1" s="1"/>
  <c r="AY87" i="1" s="1"/>
  <c r="AR88" i="1"/>
  <c r="AS88" i="1"/>
  <c r="AW88" i="1" s="1"/>
  <c r="AV88" i="1"/>
  <c r="AX88" i="1" s="1"/>
  <c r="AY88" i="1"/>
  <c r="BA88" i="1"/>
  <c r="AR89" i="1"/>
  <c r="AS89" i="1"/>
  <c r="AW89" i="1" s="1"/>
  <c r="AY89" i="1" s="1"/>
  <c r="AV89" i="1"/>
  <c r="AX89" i="1" s="1"/>
  <c r="AV65" i="1" l="1"/>
  <c r="AX65" i="1" s="1"/>
  <c r="AZ65" i="1" s="1"/>
  <c r="AV21" i="1"/>
  <c r="AX21" i="1" s="1"/>
  <c r="AZ21" i="1"/>
  <c r="AZ85" i="1"/>
  <c r="BA81" i="1"/>
  <c r="AZ77" i="1"/>
  <c r="BA73" i="1"/>
  <c r="BA68" i="1"/>
  <c r="BA66" i="1"/>
  <c r="BA64" i="1"/>
  <c r="AV58" i="1"/>
  <c r="AX58" i="1" s="1"/>
  <c r="AZ58" i="1"/>
  <c r="AV50" i="1"/>
  <c r="AX50" i="1" s="1"/>
  <c r="AZ50" i="1"/>
  <c r="AV42" i="1"/>
  <c r="AX42" i="1" s="1"/>
  <c r="AZ42" i="1"/>
  <c r="BA36" i="1"/>
  <c r="AV34" i="1"/>
  <c r="AX34" i="1" s="1"/>
  <c r="AZ34" i="1"/>
  <c r="AV26" i="1"/>
  <c r="AX26" i="1" s="1"/>
  <c r="AZ26" i="1" s="1"/>
  <c r="AV18" i="1"/>
  <c r="AX18" i="1" s="1"/>
  <c r="AZ18" i="1" s="1"/>
  <c r="AV69" i="1"/>
  <c r="AX69" i="1" s="1"/>
  <c r="AZ69" i="1" s="1"/>
  <c r="AV45" i="1"/>
  <c r="AX45" i="1" s="1"/>
  <c r="AZ45" i="1"/>
  <c r="AV37" i="1"/>
  <c r="AX37" i="1" s="1"/>
  <c r="AZ37" i="1" s="1"/>
  <c r="AV29" i="1"/>
  <c r="AX29" i="1" s="1"/>
  <c r="AZ29" i="1" s="1"/>
  <c r="BA89" i="1"/>
  <c r="AZ88" i="1"/>
  <c r="BA84" i="1"/>
  <c r="AZ80" i="1"/>
  <c r="BA76" i="1"/>
  <c r="AZ72" i="1"/>
  <c r="AV60" i="1"/>
  <c r="AX60" i="1" s="1"/>
  <c r="AZ60" i="1" s="1"/>
  <c r="BA57" i="1"/>
  <c r="AV55" i="1"/>
  <c r="AX55" i="1" s="1"/>
  <c r="AZ55" i="1" s="1"/>
  <c r="BA49" i="1"/>
  <c r="AV47" i="1"/>
  <c r="AX47" i="1" s="1"/>
  <c r="AZ47" i="1" s="1"/>
  <c r="BA41" i="1"/>
  <c r="AV39" i="1"/>
  <c r="AX39" i="1" s="1"/>
  <c r="AZ39" i="1"/>
  <c r="AV31" i="1"/>
  <c r="AX31" i="1" s="1"/>
  <c r="AZ31" i="1" s="1"/>
  <c r="AV23" i="1"/>
  <c r="AX23" i="1" s="1"/>
  <c r="AZ23" i="1"/>
  <c r="BA87" i="1"/>
  <c r="AZ83" i="1"/>
  <c r="BA79" i="1"/>
  <c r="AZ75" i="1"/>
  <c r="BA71" i="1"/>
  <c r="BA59" i="1"/>
  <c r="BA54" i="1"/>
  <c r="AV52" i="1"/>
  <c r="AX52" i="1" s="1"/>
  <c r="AZ52" i="1" s="1"/>
  <c r="BA46" i="1"/>
  <c r="AV44" i="1"/>
  <c r="AX44" i="1" s="1"/>
  <c r="AZ44" i="1"/>
  <c r="BA38" i="1"/>
  <c r="AV36" i="1"/>
  <c r="AX36" i="1" s="1"/>
  <c r="AZ36" i="1" s="1"/>
  <c r="BA30" i="1"/>
  <c r="AV28" i="1"/>
  <c r="AX28" i="1" s="1"/>
  <c r="AZ28" i="1"/>
  <c r="BA22" i="1"/>
  <c r="AV20" i="1"/>
  <c r="AX20" i="1" s="1"/>
  <c r="AZ20" i="1" s="1"/>
  <c r="AV63" i="1"/>
  <c r="AX63" i="1" s="1"/>
  <c r="AZ63" i="1" s="1"/>
  <c r="AZ86" i="1"/>
  <c r="AZ78" i="1"/>
  <c r="AZ70" i="1"/>
  <c r="AV66" i="1"/>
  <c r="AX66" i="1" s="1"/>
  <c r="AZ66" i="1"/>
  <c r="AV64" i="1"/>
  <c r="AX64" i="1" s="1"/>
  <c r="AZ64" i="1" s="1"/>
  <c r="AV62" i="1"/>
  <c r="AX62" i="1" s="1"/>
  <c r="AZ62" i="1"/>
  <c r="AV57" i="1"/>
  <c r="AX57" i="1" s="1"/>
  <c r="AZ57" i="1"/>
  <c r="AV49" i="1"/>
  <c r="AX49" i="1" s="1"/>
  <c r="AZ49" i="1"/>
  <c r="AV41" i="1"/>
  <c r="AX41" i="1" s="1"/>
  <c r="AZ41" i="1" s="1"/>
  <c r="AV33" i="1"/>
  <c r="AX33" i="1" s="1"/>
  <c r="AZ33" i="1"/>
  <c r="AV25" i="1"/>
  <c r="AX25" i="1" s="1"/>
  <c r="AZ25" i="1"/>
  <c r="AV67" i="1"/>
  <c r="AX67" i="1" s="1"/>
  <c r="AZ67" i="1" s="1"/>
  <c r="AV68" i="1"/>
  <c r="AX68" i="1" s="1"/>
  <c r="AZ68" i="1"/>
  <c r="AZ89" i="1"/>
  <c r="BA85" i="1"/>
  <c r="AZ81" i="1"/>
  <c r="BA77" i="1"/>
  <c r="AZ73" i="1"/>
  <c r="BA69" i="1"/>
  <c r="BA67" i="1"/>
  <c r="BA65" i="1"/>
  <c r="BA63" i="1"/>
  <c r="BA61" i="1"/>
  <c r="AV59" i="1"/>
  <c r="AX59" i="1" s="1"/>
  <c r="AZ59" i="1" s="1"/>
  <c r="BA56" i="1"/>
  <c r="AV54" i="1"/>
  <c r="AX54" i="1" s="1"/>
  <c r="AZ54" i="1" s="1"/>
  <c r="BA48" i="1"/>
  <c r="AV46" i="1"/>
  <c r="AX46" i="1" s="1"/>
  <c r="AZ46" i="1" s="1"/>
  <c r="BA40" i="1"/>
  <c r="AV38" i="1"/>
  <c r="AX38" i="1" s="1"/>
  <c r="AZ38" i="1"/>
  <c r="BA32" i="1"/>
  <c r="AV30" i="1"/>
  <c r="AX30" i="1" s="1"/>
  <c r="AZ30" i="1"/>
  <c r="BA24" i="1"/>
  <c r="AV22" i="1"/>
  <c r="AX22" i="1" s="1"/>
  <c r="AZ22" i="1"/>
  <c r="AV82" i="1"/>
  <c r="AX82" i="1" s="1"/>
  <c r="AZ82" i="1" s="1"/>
  <c r="AZ76" i="1"/>
  <c r="AV74" i="1"/>
  <c r="AX74" i="1" s="1"/>
  <c r="AZ74" i="1" s="1"/>
  <c r="BA58" i="1"/>
  <c r="AV51" i="1"/>
  <c r="AX51" i="1" s="1"/>
  <c r="AZ51" i="1"/>
  <c r="AV43" i="1"/>
  <c r="AX43" i="1" s="1"/>
  <c r="AZ43" i="1"/>
  <c r="AV35" i="1"/>
  <c r="AX35" i="1" s="1"/>
  <c r="AZ35" i="1"/>
  <c r="AV27" i="1"/>
  <c r="AX27" i="1" s="1"/>
  <c r="AZ27" i="1" s="1"/>
  <c r="AV19" i="1"/>
  <c r="AX19" i="1" s="1"/>
  <c r="AZ19" i="1"/>
  <c r="AV53" i="1"/>
  <c r="AX53" i="1" s="1"/>
  <c r="AZ53" i="1"/>
  <c r="AZ84" i="1"/>
  <c r="AZ87" i="1"/>
  <c r="AZ79" i="1"/>
  <c r="AZ71" i="1"/>
  <c r="AV61" i="1"/>
  <c r="AX61" i="1" s="1"/>
  <c r="AZ61" i="1"/>
  <c r="AV56" i="1"/>
  <c r="AX56" i="1" s="1"/>
  <c r="AZ56" i="1"/>
  <c r="BA50" i="1"/>
  <c r="AV48" i="1"/>
  <c r="AX48" i="1" s="1"/>
  <c r="AZ48" i="1" s="1"/>
  <c r="BA42" i="1"/>
  <c r="AV40" i="1"/>
  <c r="AX40" i="1" s="1"/>
  <c r="AZ40" i="1"/>
  <c r="BA34" i="1"/>
  <c r="AV32" i="1"/>
  <c r="AX32" i="1" s="1"/>
  <c r="AZ32" i="1" s="1"/>
  <c r="BA26" i="1"/>
  <c r="AV24" i="1"/>
  <c r="AX24" i="1" s="1"/>
  <c r="AZ24" i="1" s="1"/>
  <c r="BA18" i="1"/>
  <c r="AZ17" i="1"/>
  <c r="AZ16" i="1"/>
  <c r="AZ15" i="1"/>
  <c r="AZ14" i="1"/>
  <c r="AZ13" i="1"/>
  <c r="AZ12" i="1"/>
  <c r="AZ11" i="1"/>
  <c r="AZ10" i="1"/>
  <c r="AZ9" i="1"/>
  <c r="AZ8" i="1"/>
  <c r="G90" i="1"/>
  <c r="E90" i="1"/>
  <c r="I90" i="1"/>
  <c r="AQ90" i="1"/>
  <c r="AO90" i="1"/>
  <c r="AM90" i="1"/>
  <c r="AK90" i="1"/>
  <c r="AI90" i="1"/>
  <c r="AG90" i="1"/>
  <c r="AE90" i="1"/>
  <c r="AC90" i="1"/>
  <c r="AA90" i="1"/>
  <c r="Y90" i="1"/>
  <c r="W90" i="1"/>
  <c r="U90" i="1"/>
  <c r="S90" i="1"/>
  <c r="Q90" i="1"/>
  <c r="O90" i="1"/>
  <c r="M90" i="1"/>
  <c r="K90" i="1"/>
  <c r="AR7" i="1" l="1"/>
  <c r="AS7" i="1"/>
  <c r="AW7" i="1" s="1"/>
  <c r="AY7" i="1" s="1"/>
  <c r="BA7" i="1" s="1"/>
  <c r="AR90" i="1" l="1"/>
  <c r="AV7" i="1"/>
  <c r="AX7" i="1" s="1"/>
  <c r="AZ7" i="1" s="1"/>
  <c r="AW92" i="1"/>
  <c r="AV90" i="1"/>
  <c r="AU90" i="1"/>
  <c r="E3" i="1"/>
  <c r="AL1" i="1"/>
  <c r="AY90" i="1" l="1"/>
  <c r="AW90" i="1"/>
  <c r="AS90" i="1"/>
  <c r="BA90" i="1" l="1"/>
  <c r="BA92" i="1"/>
</calcChain>
</file>

<file path=xl/sharedStrings.xml><?xml version="1.0" encoding="utf-8"?>
<sst xmlns="http://schemas.openxmlformats.org/spreadsheetml/2006/main" count="65" uniqueCount="16">
  <si>
    <t>Материальный отчёт   по</t>
  </si>
  <si>
    <t>Наименование</t>
  </si>
  <si>
    <t>Ед.изм.</t>
  </si>
  <si>
    <t>Цена</t>
  </si>
  <si>
    <t>Сальдо</t>
  </si>
  <si>
    <t>Приход</t>
  </si>
  <si>
    <t>Всего приход</t>
  </si>
  <si>
    <t>Расход</t>
  </si>
  <si>
    <t>Всего расход</t>
  </si>
  <si>
    <t>01.06.2024г.</t>
  </si>
  <si>
    <t>По акту списание</t>
  </si>
  <si>
    <t>кол-во</t>
  </si>
  <si>
    <t>сумма</t>
  </si>
  <si>
    <t>Счёт - 1010/1050</t>
  </si>
  <si>
    <t>Итого:</t>
  </si>
  <si>
    <t xml:space="preserve">Директор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</si>
</sst>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_-* #,##0.00_р_._-;\-* #,##0.00_р_._-;_-* &quot;-&quot;??_р_._-;_-@_-"/>
    <numFmt numFmtId="166" formatCode="0.000"/>
    <numFmt numFmtId="167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 Cyr"/>
      <charset val="204"/>
    </font>
    <font>
      <sz val="7"/>
      <color rgb="FF000000"/>
      <name val="Times New Roman"/>
      <family val="1"/>
      <charset val="204"/>
    </font>
    <font>
      <sz val="9"/>
      <name val="Calibri"/>
      <family val="2"/>
      <charset val="204"/>
      <scheme val="minor"/>
    </font>
    <font>
      <sz val="9"/>
      <color rgb="FF000000"/>
      <name val="Times New Roman"/>
      <family val="1"/>
      <charset val="204"/>
    </font>
    <font>
      <sz val="8"/>
      <color rgb="FF000000"/>
      <name val="Manroperegular"/>
    </font>
    <font>
      <sz val="10"/>
      <color rgb="FF000000"/>
      <name val="Times New Roman"/>
      <family val="1"/>
      <charset val="204"/>
    </font>
    <font>
      <sz val="10"/>
      <color rgb="FF000000"/>
      <name val="IBMPlexSans"/>
      <charset val="204"/>
    </font>
    <font>
      <sz val="10"/>
      <color theme="1"/>
      <name val="Arial Cyr"/>
      <charset val="204"/>
    </font>
    <font>
      <sz val="9"/>
      <color rgb="FF000000"/>
      <name val="Manroperegula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2" fillId="0" borderId="5" xfId="0" applyFont="1" applyBorder="1"/>
    <xf numFmtId="0" fontId="0" fillId="0" borderId="5" xfId="0" applyBorder="1"/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64" fontId="2" fillId="0" borderId="5" xfId="1" applyFont="1" applyBorder="1" applyAlignment="1">
      <alignment horizontal="center"/>
    </xf>
    <xf numFmtId="1" fontId="0" fillId="0" borderId="5" xfId="0" applyNumberFormat="1" applyBorder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164" fontId="0" fillId="0" borderId="0" xfId="1" applyFont="1"/>
    <xf numFmtId="0" fontId="8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9" fillId="0" borderId="0" xfId="0" applyFont="1" applyAlignment="1">
      <alignment horizontal="center" vertical="center" wrapText="1"/>
    </xf>
    <xf numFmtId="164" fontId="0" fillId="0" borderId="0" xfId="1" applyFont="1" applyBorder="1"/>
    <xf numFmtId="0" fontId="0" fillId="3" borderId="0" xfId="0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0" fillId="0" borderId="3" xfId="0" applyBorder="1"/>
    <xf numFmtId="0" fontId="0" fillId="0" borderId="6" xfId="0" applyBorder="1" applyAlignment="1">
      <alignment horizontal="center"/>
    </xf>
    <xf numFmtId="0" fontId="4" fillId="0" borderId="7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vertical="center"/>
    </xf>
    <xf numFmtId="166" fontId="11" fillId="2" borderId="1" xfId="0" applyNumberFormat="1" applyFont="1" applyFill="1" applyBorder="1" applyAlignment="1">
      <alignment horizontal="center" vertical="center" wrapText="1"/>
    </xf>
    <xf numFmtId="2" fontId="11" fillId="2" borderId="1" xfId="0" applyNumberFormat="1" applyFont="1" applyFill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4" fontId="11" fillId="0" borderId="1" xfId="1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textRotation="90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90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mmik%20Montanov/Downloads/Telegram%20Desktop/1-1010-&#1052;&#1040;&#1058;&#1045;&#1056;&#1048;&#1040;&#1051;%20.&#1054;&#1058;&#106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акт."/>
      <sheetName val="нак."/>
      <sheetName val="Лист4"/>
      <sheetName val="Лист2"/>
    </sheetNames>
    <sheetDataSet>
      <sheetData sheetId="0">
        <row r="1">
          <cell r="G1" t="str">
            <v>NUR FAYZ REKLAMA МЧЖ</v>
          </cell>
          <cell r="L1" t="str">
            <v>2025г</v>
          </cell>
        </row>
      </sheetData>
      <sheetData sheetId="1"/>
      <sheetData sheetId="2"/>
      <sheetData sheetId="3">
        <row r="2">
          <cell r="AM2" t="str">
            <v>01.05.2024г.</v>
          </cell>
        </row>
        <row r="82">
          <cell r="AI82">
            <v>2212472637.6199999</v>
          </cell>
        </row>
      </sheetData>
      <sheetData sheetId="4">
        <row r="24">
          <cell r="W24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9"/>
  <sheetViews>
    <sheetView tabSelected="1" topLeftCell="AC60" zoomScale="73" workbookViewId="0">
      <selection activeCell="AM81" sqref="AM81"/>
    </sheetView>
  </sheetViews>
  <sheetFormatPr defaultRowHeight="15"/>
  <cols>
    <col min="1" max="1" width="37" bestFit="1" customWidth="1"/>
    <col min="2" max="2" width="8.85546875" customWidth="1"/>
    <col min="3" max="3" width="14.140625" customWidth="1"/>
    <col min="4" max="4" width="8" customWidth="1"/>
    <col min="5" max="5" width="17.7109375" bestFit="1" customWidth="1"/>
    <col min="6" max="6" width="10.28515625" bestFit="1" customWidth="1"/>
    <col min="7" max="7" width="18.140625" bestFit="1" customWidth="1"/>
    <col min="8" max="8" width="9.5703125" customWidth="1"/>
    <col min="9" max="9" width="16.5703125" bestFit="1" customWidth="1"/>
    <col min="10" max="10" width="8.85546875" customWidth="1"/>
    <col min="11" max="11" width="16.5703125" bestFit="1" customWidth="1"/>
    <col min="12" max="37" width="16.5703125" customWidth="1"/>
    <col min="38" max="38" width="7" customWidth="1"/>
    <col min="39" max="39" width="16.5703125" bestFit="1" customWidth="1"/>
    <col min="40" max="40" width="8.85546875" customWidth="1"/>
    <col min="41" max="41" width="16.5703125" bestFit="1" customWidth="1"/>
    <col min="42" max="42" width="12.140625" customWidth="1"/>
    <col min="43" max="43" width="17.42578125" customWidth="1"/>
    <col min="44" max="44" width="10.5703125" customWidth="1"/>
    <col min="45" max="45" width="18.42578125" bestFit="1" customWidth="1"/>
    <col min="46" max="46" width="6.5703125" customWidth="1"/>
    <col min="47" max="47" width="10.5703125" customWidth="1"/>
    <col min="48" max="48" width="10.28515625" bestFit="1" customWidth="1"/>
    <col min="49" max="49" width="21.85546875" customWidth="1"/>
    <col min="50" max="50" width="10.28515625" bestFit="1" customWidth="1"/>
    <col min="51" max="51" width="17.7109375" bestFit="1" customWidth="1"/>
    <col min="52" max="52" width="10.5703125" customWidth="1"/>
    <col min="53" max="53" width="18.140625" customWidth="1"/>
    <col min="283" max="283" width="37" bestFit="1" customWidth="1"/>
    <col min="284" max="284" width="8.85546875" customWidth="1"/>
    <col min="285" max="285" width="14.140625" customWidth="1"/>
    <col min="286" max="286" width="8" customWidth="1"/>
    <col min="287" max="287" width="17.7109375" bestFit="1" customWidth="1"/>
    <col min="288" max="288" width="10.28515625" bestFit="1" customWidth="1"/>
    <col min="289" max="289" width="18.140625" bestFit="1" customWidth="1"/>
    <col min="290" max="290" width="9.5703125" customWidth="1"/>
    <col min="291" max="291" width="16.5703125" bestFit="1" customWidth="1"/>
    <col min="292" max="292" width="8.85546875" customWidth="1"/>
    <col min="293" max="293" width="16.5703125" bestFit="1" customWidth="1"/>
    <col min="294" max="294" width="7" customWidth="1"/>
    <col min="295" max="295" width="16.5703125" bestFit="1" customWidth="1"/>
    <col min="296" max="296" width="8.85546875" customWidth="1"/>
    <col min="297" max="297" width="16.5703125" bestFit="1" customWidth="1"/>
    <col min="298" max="298" width="8.140625" customWidth="1"/>
    <col min="299" max="299" width="9.85546875" customWidth="1"/>
    <col min="300" max="300" width="10.5703125" customWidth="1"/>
    <col min="301" max="301" width="18.42578125" bestFit="1" customWidth="1"/>
    <col min="302" max="303" width="6.5703125" customWidth="1"/>
    <col min="304" max="304" width="10.28515625" bestFit="1" customWidth="1"/>
    <col min="305" max="305" width="19.28515625" bestFit="1" customWidth="1"/>
    <col min="306" max="306" width="10.28515625" bestFit="1" customWidth="1"/>
    <col min="307" max="307" width="17.7109375" bestFit="1" customWidth="1"/>
    <col min="308" max="308" width="10.5703125" customWidth="1"/>
    <col min="309" max="309" width="18.140625" customWidth="1"/>
    <col min="539" max="539" width="37" bestFit="1" customWidth="1"/>
    <col min="540" max="540" width="8.85546875" customWidth="1"/>
    <col min="541" max="541" width="14.140625" customWidth="1"/>
    <col min="542" max="542" width="8" customWidth="1"/>
    <col min="543" max="543" width="17.7109375" bestFit="1" customWidth="1"/>
    <col min="544" max="544" width="10.28515625" bestFit="1" customWidth="1"/>
    <col min="545" max="545" width="18.140625" bestFit="1" customWidth="1"/>
    <col min="546" max="546" width="9.5703125" customWidth="1"/>
    <col min="547" max="547" width="16.5703125" bestFit="1" customWidth="1"/>
    <col min="548" max="548" width="8.85546875" customWidth="1"/>
    <col min="549" max="549" width="16.5703125" bestFit="1" customWidth="1"/>
    <col min="550" max="550" width="7" customWidth="1"/>
    <col min="551" max="551" width="16.5703125" bestFit="1" customWidth="1"/>
    <col min="552" max="552" width="8.85546875" customWidth="1"/>
    <col min="553" max="553" width="16.5703125" bestFit="1" customWidth="1"/>
    <col min="554" max="554" width="8.140625" customWidth="1"/>
    <col min="555" max="555" width="9.85546875" customWidth="1"/>
    <col min="556" max="556" width="10.5703125" customWidth="1"/>
    <col min="557" max="557" width="18.42578125" bestFit="1" customWidth="1"/>
    <col min="558" max="559" width="6.5703125" customWidth="1"/>
    <col min="560" max="560" width="10.28515625" bestFit="1" customWidth="1"/>
    <col min="561" max="561" width="19.28515625" bestFit="1" customWidth="1"/>
    <col min="562" max="562" width="10.28515625" bestFit="1" customWidth="1"/>
    <col min="563" max="563" width="17.7109375" bestFit="1" customWidth="1"/>
    <col min="564" max="564" width="10.5703125" customWidth="1"/>
    <col min="565" max="565" width="18.140625" customWidth="1"/>
    <col min="795" max="795" width="37" bestFit="1" customWidth="1"/>
    <col min="796" max="796" width="8.85546875" customWidth="1"/>
    <col min="797" max="797" width="14.140625" customWidth="1"/>
    <col min="798" max="798" width="8" customWidth="1"/>
    <col min="799" max="799" width="17.7109375" bestFit="1" customWidth="1"/>
    <col min="800" max="800" width="10.28515625" bestFit="1" customWidth="1"/>
    <col min="801" max="801" width="18.140625" bestFit="1" customWidth="1"/>
    <col min="802" max="802" width="9.5703125" customWidth="1"/>
    <col min="803" max="803" width="16.5703125" bestFit="1" customWidth="1"/>
    <col min="804" max="804" width="8.85546875" customWidth="1"/>
    <col min="805" max="805" width="16.5703125" bestFit="1" customWidth="1"/>
    <col min="806" max="806" width="7" customWidth="1"/>
    <col min="807" max="807" width="16.5703125" bestFit="1" customWidth="1"/>
    <col min="808" max="808" width="8.85546875" customWidth="1"/>
    <col min="809" max="809" width="16.5703125" bestFit="1" customWidth="1"/>
    <col min="810" max="810" width="8.140625" customWidth="1"/>
    <col min="811" max="811" width="9.85546875" customWidth="1"/>
    <col min="812" max="812" width="10.5703125" customWidth="1"/>
    <col min="813" max="813" width="18.42578125" bestFit="1" customWidth="1"/>
    <col min="814" max="815" width="6.5703125" customWidth="1"/>
    <col min="816" max="816" width="10.28515625" bestFit="1" customWidth="1"/>
    <col min="817" max="817" width="19.28515625" bestFit="1" customWidth="1"/>
    <col min="818" max="818" width="10.28515625" bestFit="1" customWidth="1"/>
    <col min="819" max="819" width="17.7109375" bestFit="1" customWidth="1"/>
    <col min="820" max="820" width="10.5703125" customWidth="1"/>
    <col min="821" max="821" width="18.140625" customWidth="1"/>
    <col min="1051" max="1051" width="37" bestFit="1" customWidth="1"/>
    <col min="1052" max="1052" width="8.85546875" customWidth="1"/>
    <col min="1053" max="1053" width="14.140625" customWidth="1"/>
    <col min="1054" max="1054" width="8" customWidth="1"/>
    <col min="1055" max="1055" width="17.7109375" bestFit="1" customWidth="1"/>
    <col min="1056" max="1056" width="10.28515625" bestFit="1" customWidth="1"/>
    <col min="1057" max="1057" width="18.140625" bestFit="1" customWidth="1"/>
    <col min="1058" max="1058" width="9.5703125" customWidth="1"/>
    <col min="1059" max="1059" width="16.5703125" bestFit="1" customWidth="1"/>
    <col min="1060" max="1060" width="8.85546875" customWidth="1"/>
    <col min="1061" max="1061" width="16.5703125" bestFit="1" customWidth="1"/>
    <col min="1062" max="1062" width="7" customWidth="1"/>
    <col min="1063" max="1063" width="16.5703125" bestFit="1" customWidth="1"/>
    <col min="1064" max="1064" width="8.85546875" customWidth="1"/>
    <col min="1065" max="1065" width="16.5703125" bestFit="1" customWidth="1"/>
    <col min="1066" max="1066" width="8.140625" customWidth="1"/>
    <col min="1067" max="1067" width="9.85546875" customWidth="1"/>
    <col min="1068" max="1068" width="10.5703125" customWidth="1"/>
    <col min="1069" max="1069" width="18.42578125" bestFit="1" customWidth="1"/>
    <col min="1070" max="1071" width="6.5703125" customWidth="1"/>
    <col min="1072" max="1072" width="10.28515625" bestFit="1" customWidth="1"/>
    <col min="1073" max="1073" width="19.28515625" bestFit="1" customWidth="1"/>
    <col min="1074" max="1074" width="10.28515625" bestFit="1" customWidth="1"/>
    <col min="1075" max="1075" width="17.7109375" bestFit="1" customWidth="1"/>
    <col min="1076" max="1076" width="10.5703125" customWidth="1"/>
    <col min="1077" max="1077" width="18.140625" customWidth="1"/>
    <col min="1307" max="1307" width="37" bestFit="1" customWidth="1"/>
    <col min="1308" max="1308" width="8.85546875" customWidth="1"/>
    <col min="1309" max="1309" width="14.140625" customWidth="1"/>
    <col min="1310" max="1310" width="8" customWidth="1"/>
    <col min="1311" max="1311" width="17.7109375" bestFit="1" customWidth="1"/>
    <col min="1312" max="1312" width="10.28515625" bestFit="1" customWidth="1"/>
    <col min="1313" max="1313" width="18.140625" bestFit="1" customWidth="1"/>
    <col min="1314" max="1314" width="9.5703125" customWidth="1"/>
    <col min="1315" max="1315" width="16.5703125" bestFit="1" customWidth="1"/>
    <col min="1316" max="1316" width="8.85546875" customWidth="1"/>
    <col min="1317" max="1317" width="16.5703125" bestFit="1" customWidth="1"/>
    <col min="1318" max="1318" width="7" customWidth="1"/>
    <col min="1319" max="1319" width="16.5703125" bestFit="1" customWidth="1"/>
    <col min="1320" max="1320" width="8.85546875" customWidth="1"/>
    <col min="1321" max="1321" width="16.5703125" bestFit="1" customWidth="1"/>
    <col min="1322" max="1322" width="8.140625" customWidth="1"/>
    <col min="1323" max="1323" width="9.85546875" customWidth="1"/>
    <col min="1324" max="1324" width="10.5703125" customWidth="1"/>
    <col min="1325" max="1325" width="18.42578125" bestFit="1" customWidth="1"/>
    <col min="1326" max="1327" width="6.5703125" customWidth="1"/>
    <col min="1328" max="1328" width="10.28515625" bestFit="1" customWidth="1"/>
    <col min="1329" max="1329" width="19.28515625" bestFit="1" customWidth="1"/>
    <col min="1330" max="1330" width="10.28515625" bestFit="1" customWidth="1"/>
    <col min="1331" max="1331" width="17.7109375" bestFit="1" customWidth="1"/>
    <col min="1332" max="1332" width="10.5703125" customWidth="1"/>
    <col min="1333" max="1333" width="18.140625" customWidth="1"/>
    <col min="1563" max="1563" width="37" bestFit="1" customWidth="1"/>
    <col min="1564" max="1564" width="8.85546875" customWidth="1"/>
    <col min="1565" max="1565" width="14.140625" customWidth="1"/>
    <col min="1566" max="1566" width="8" customWidth="1"/>
    <col min="1567" max="1567" width="17.7109375" bestFit="1" customWidth="1"/>
    <col min="1568" max="1568" width="10.28515625" bestFit="1" customWidth="1"/>
    <col min="1569" max="1569" width="18.140625" bestFit="1" customWidth="1"/>
    <col min="1570" max="1570" width="9.5703125" customWidth="1"/>
    <col min="1571" max="1571" width="16.5703125" bestFit="1" customWidth="1"/>
    <col min="1572" max="1572" width="8.85546875" customWidth="1"/>
    <col min="1573" max="1573" width="16.5703125" bestFit="1" customWidth="1"/>
    <col min="1574" max="1574" width="7" customWidth="1"/>
    <col min="1575" max="1575" width="16.5703125" bestFit="1" customWidth="1"/>
    <col min="1576" max="1576" width="8.85546875" customWidth="1"/>
    <col min="1577" max="1577" width="16.5703125" bestFit="1" customWidth="1"/>
    <col min="1578" max="1578" width="8.140625" customWidth="1"/>
    <col min="1579" max="1579" width="9.85546875" customWidth="1"/>
    <col min="1580" max="1580" width="10.5703125" customWidth="1"/>
    <col min="1581" max="1581" width="18.42578125" bestFit="1" customWidth="1"/>
    <col min="1582" max="1583" width="6.5703125" customWidth="1"/>
    <col min="1584" max="1584" width="10.28515625" bestFit="1" customWidth="1"/>
    <col min="1585" max="1585" width="19.28515625" bestFit="1" customWidth="1"/>
    <col min="1586" max="1586" width="10.28515625" bestFit="1" customWidth="1"/>
    <col min="1587" max="1587" width="17.7109375" bestFit="1" customWidth="1"/>
    <col min="1588" max="1588" width="10.5703125" customWidth="1"/>
    <col min="1589" max="1589" width="18.140625" customWidth="1"/>
    <col min="1819" max="1819" width="37" bestFit="1" customWidth="1"/>
    <col min="1820" max="1820" width="8.85546875" customWidth="1"/>
    <col min="1821" max="1821" width="14.140625" customWidth="1"/>
    <col min="1822" max="1822" width="8" customWidth="1"/>
    <col min="1823" max="1823" width="17.7109375" bestFit="1" customWidth="1"/>
    <col min="1824" max="1824" width="10.28515625" bestFit="1" customWidth="1"/>
    <col min="1825" max="1825" width="18.140625" bestFit="1" customWidth="1"/>
    <col min="1826" max="1826" width="9.5703125" customWidth="1"/>
    <col min="1827" max="1827" width="16.5703125" bestFit="1" customWidth="1"/>
    <col min="1828" max="1828" width="8.85546875" customWidth="1"/>
    <col min="1829" max="1829" width="16.5703125" bestFit="1" customWidth="1"/>
    <col min="1830" max="1830" width="7" customWidth="1"/>
    <col min="1831" max="1831" width="16.5703125" bestFit="1" customWidth="1"/>
    <col min="1832" max="1832" width="8.85546875" customWidth="1"/>
    <col min="1833" max="1833" width="16.5703125" bestFit="1" customWidth="1"/>
    <col min="1834" max="1834" width="8.140625" customWidth="1"/>
    <col min="1835" max="1835" width="9.85546875" customWidth="1"/>
    <col min="1836" max="1836" width="10.5703125" customWidth="1"/>
    <col min="1837" max="1837" width="18.42578125" bestFit="1" customWidth="1"/>
    <col min="1838" max="1839" width="6.5703125" customWidth="1"/>
    <col min="1840" max="1840" width="10.28515625" bestFit="1" customWidth="1"/>
    <col min="1841" max="1841" width="19.28515625" bestFit="1" customWidth="1"/>
    <col min="1842" max="1842" width="10.28515625" bestFit="1" customWidth="1"/>
    <col min="1843" max="1843" width="17.7109375" bestFit="1" customWidth="1"/>
    <col min="1844" max="1844" width="10.5703125" customWidth="1"/>
    <col min="1845" max="1845" width="18.140625" customWidth="1"/>
    <col min="2075" max="2075" width="37" bestFit="1" customWidth="1"/>
    <col min="2076" max="2076" width="8.85546875" customWidth="1"/>
    <col min="2077" max="2077" width="14.140625" customWidth="1"/>
    <col min="2078" max="2078" width="8" customWidth="1"/>
    <col min="2079" max="2079" width="17.7109375" bestFit="1" customWidth="1"/>
    <col min="2080" max="2080" width="10.28515625" bestFit="1" customWidth="1"/>
    <col min="2081" max="2081" width="18.140625" bestFit="1" customWidth="1"/>
    <col min="2082" max="2082" width="9.5703125" customWidth="1"/>
    <col min="2083" max="2083" width="16.5703125" bestFit="1" customWidth="1"/>
    <col min="2084" max="2084" width="8.85546875" customWidth="1"/>
    <col min="2085" max="2085" width="16.5703125" bestFit="1" customWidth="1"/>
    <col min="2086" max="2086" width="7" customWidth="1"/>
    <col min="2087" max="2087" width="16.5703125" bestFit="1" customWidth="1"/>
    <col min="2088" max="2088" width="8.85546875" customWidth="1"/>
    <col min="2089" max="2089" width="16.5703125" bestFit="1" customWidth="1"/>
    <col min="2090" max="2090" width="8.140625" customWidth="1"/>
    <col min="2091" max="2091" width="9.85546875" customWidth="1"/>
    <col min="2092" max="2092" width="10.5703125" customWidth="1"/>
    <col min="2093" max="2093" width="18.42578125" bestFit="1" customWidth="1"/>
    <col min="2094" max="2095" width="6.5703125" customWidth="1"/>
    <col min="2096" max="2096" width="10.28515625" bestFit="1" customWidth="1"/>
    <col min="2097" max="2097" width="19.28515625" bestFit="1" customWidth="1"/>
    <col min="2098" max="2098" width="10.28515625" bestFit="1" customWidth="1"/>
    <col min="2099" max="2099" width="17.7109375" bestFit="1" customWidth="1"/>
    <col min="2100" max="2100" width="10.5703125" customWidth="1"/>
    <col min="2101" max="2101" width="18.140625" customWidth="1"/>
    <col min="2331" max="2331" width="37" bestFit="1" customWidth="1"/>
    <col min="2332" max="2332" width="8.85546875" customWidth="1"/>
    <col min="2333" max="2333" width="14.140625" customWidth="1"/>
    <col min="2334" max="2334" width="8" customWidth="1"/>
    <col min="2335" max="2335" width="17.7109375" bestFit="1" customWidth="1"/>
    <col min="2336" max="2336" width="10.28515625" bestFit="1" customWidth="1"/>
    <col min="2337" max="2337" width="18.140625" bestFit="1" customWidth="1"/>
    <col min="2338" max="2338" width="9.5703125" customWidth="1"/>
    <col min="2339" max="2339" width="16.5703125" bestFit="1" customWidth="1"/>
    <col min="2340" max="2340" width="8.85546875" customWidth="1"/>
    <col min="2341" max="2341" width="16.5703125" bestFit="1" customWidth="1"/>
    <col min="2342" max="2342" width="7" customWidth="1"/>
    <col min="2343" max="2343" width="16.5703125" bestFit="1" customWidth="1"/>
    <col min="2344" max="2344" width="8.85546875" customWidth="1"/>
    <col min="2345" max="2345" width="16.5703125" bestFit="1" customWidth="1"/>
    <col min="2346" max="2346" width="8.140625" customWidth="1"/>
    <col min="2347" max="2347" width="9.85546875" customWidth="1"/>
    <col min="2348" max="2348" width="10.5703125" customWidth="1"/>
    <col min="2349" max="2349" width="18.42578125" bestFit="1" customWidth="1"/>
    <col min="2350" max="2351" width="6.5703125" customWidth="1"/>
    <col min="2352" max="2352" width="10.28515625" bestFit="1" customWidth="1"/>
    <col min="2353" max="2353" width="19.28515625" bestFit="1" customWidth="1"/>
    <col min="2354" max="2354" width="10.28515625" bestFit="1" customWidth="1"/>
    <col min="2355" max="2355" width="17.7109375" bestFit="1" customWidth="1"/>
    <col min="2356" max="2356" width="10.5703125" customWidth="1"/>
    <col min="2357" max="2357" width="18.140625" customWidth="1"/>
    <col min="2587" max="2587" width="37" bestFit="1" customWidth="1"/>
    <col min="2588" max="2588" width="8.85546875" customWidth="1"/>
    <col min="2589" max="2589" width="14.140625" customWidth="1"/>
    <col min="2590" max="2590" width="8" customWidth="1"/>
    <col min="2591" max="2591" width="17.7109375" bestFit="1" customWidth="1"/>
    <col min="2592" max="2592" width="10.28515625" bestFit="1" customWidth="1"/>
    <col min="2593" max="2593" width="18.140625" bestFit="1" customWidth="1"/>
    <col min="2594" max="2594" width="9.5703125" customWidth="1"/>
    <col min="2595" max="2595" width="16.5703125" bestFit="1" customWidth="1"/>
    <col min="2596" max="2596" width="8.85546875" customWidth="1"/>
    <col min="2597" max="2597" width="16.5703125" bestFit="1" customWidth="1"/>
    <col min="2598" max="2598" width="7" customWidth="1"/>
    <col min="2599" max="2599" width="16.5703125" bestFit="1" customWidth="1"/>
    <col min="2600" max="2600" width="8.85546875" customWidth="1"/>
    <col min="2601" max="2601" width="16.5703125" bestFit="1" customWidth="1"/>
    <col min="2602" max="2602" width="8.140625" customWidth="1"/>
    <col min="2603" max="2603" width="9.85546875" customWidth="1"/>
    <col min="2604" max="2604" width="10.5703125" customWidth="1"/>
    <col min="2605" max="2605" width="18.42578125" bestFit="1" customWidth="1"/>
    <col min="2606" max="2607" width="6.5703125" customWidth="1"/>
    <col min="2608" max="2608" width="10.28515625" bestFit="1" customWidth="1"/>
    <col min="2609" max="2609" width="19.28515625" bestFit="1" customWidth="1"/>
    <col min="2610" max="2610" width="10.28515625" bestFit="1" customWidth="1"/>
    <col min="2611" max="2611" width="17.7109375" bestFit="1" customWidth="1"/>
    <col min="2612" max="2612" width="10.5703125" customWidth="1"/>
    <col min="2613" max="2613" width="18.140625" customWidth="1"/>
    <col min="2843" max="2843" width="37" bestFit="1" customWidth="1"/>
    <col min="2844" max="2844" width="8.85546875" customWidth="1"/>
    <col min="2845" max="2845" width="14.140625" customWidth="1"/>
    <col min="2846" max="2846" width="8" customWidth="1"/>
    <col min="2847" max="2847" width="17.7109375" bestFit="1" customWidth="1"/>
    <col min="2848" max="2848" width="10.28515625" bestFit="1" customWidth="1"/>
    <col min="2849" max="2849" width="18.140625" bestFit="1" customWidth="1"/>
    <col min="2850" max="2850" width="9.5703125" customWidth="1"/>
    <col min="2851" max="2851" width="16.5703125" bestFit="1" customWidth="1"/>
    <col min="2852" max="2852" width="8.85546875" customWidth="1"/>
    <col min="2853" max="2853" width="16.5703125" bestFit="1" customWidth="1"/>
    <col min="2854" max="2854" width="7" customWidth="1"/>
    <col min="2855" max="2855" width="16.5703125" bestFit="1" customWidth="1"/>
    <col min="2856" max="2856" width="8.85546875" customWidth="1"/>
    <col min="2857" max="2857" width="16.5703125" bestFit="1" customWidth="1"/>
    <col min="2858" max="2858" width="8.140625" customWidth="1"/>
    <col min="2859" max="2859" width="9.85546875" customWidth="1"/>
    <col min="2860" max="2860" width="10.5703125" customWidth="1"/>
    <col min="2861" max="2861" width="18.42578125" bestFit="1" customWidth="1"/>
    <col min="2862" max="2863" width="6.5703125" customWidth="1"/>
    <col min="2864" max="2864" width="10.28515625" bestFit="1" customWidth="1"/>
    <col min="2865" max="2865" width="19.28515625" bestFit="1" customWidth="1"/>
    <col min="2866" max="2866" width="10.28515625" bestFit="1" customWidth="1"/>
    <col min="2867" max="2867" width="17.7109375" bestFit="1" customWidth="1"/>
    <col min="2868" max="2868" width="10.5703125" customWidth="1"/>
    <col min="2869" max="2869" width="18.140625" customWidth="1"/>
    <col min="3099" max="3099" width="37" bestFit="1" customWidth="1"/>
    <col min="3100" max="3100" width="8.85546875" customWidth="1"/>
    <col min="3101" max="3101" width="14.140625" customWidth="1"/>
    <col min="3102" max="3102" width="8" customWidth="1"/>
    <col min="3103" max="3103" width="17.7109375" bestFit="1" customWidth="1"/>
    <col min="3104" max="3104" width="10.28515625" bestFit="1" customWidth="1"/>
    <col min="3105" max="3105" width="18.140625" bestFit="1" customWidth="1"/>
    <col min="3106" max="3106" width="9.5703125" customWidth="1"/>
    <col min="3107" max="3107" width="16.5703125" bestFit="1" customWidth="1"/>
    <col min="3108" max="3108" width="8.85546875" customWidth="1"/>
    <col min="3109" max="3109" width="16.5703125" bestFit="1" customWidth="1"/>
    <col min="3110" max="3110" width="7" customWidth="1"/>
    <col min="3111" max="3111" width="16.5703125" bestFit="1" customWidth="1"/>
    <col min="3112" max="3112" width="8.85546875" customWidth="1"/>
    <col min="3113" max="3113" width="16.5703125" bestFit="1" customWidth="1"/>
    <col min="3114" max="3114" width="8.140625" customWidth="1"/>
    <col min="3115" max="3115" width="9.85546875" customWidth="1"/>
    <col min="3116" max="3116" width="10.5703125" customWidth="1"/>
    <col min="3117" max="3117" width="18.42578125" bestFit="1" customWidth="1"/>
    <col min="3118" max="3119" width="6.5703125" customWidth="1"/>
    <col min="3120" max="3120" width="10.28515625" bestFit="1" customWidth="1"/>
    <col min="3121" max="3121" width="19.28515625" bestFit="1" customWidth="1"/>
    <col min="3122" max="3122" width="10.28515625" bestFit="1" customWidth="1"/>
    <col min="3123" max="3123" width="17.7109375" bestFit="1" customWidth="1"/>
    <col min="3124" max="3124" width="10.5703125" customWidth="1"/>
    <col min="3125" max="3125" width="18.140625" customWidth="1"/>
    <col min="3355" max="3355" width="37" bestFit="1" customWidth="1"/>
    <col min="3356" max="3356" width="8.85546875" customWidth="1"/>
    <col min="3357" max="3357" width="14.140625" customWidth="1"/>
    <col min="3358" max="3358" width="8" customWidth="1"/>
    <col min="3359" max="3359" width="17.7109375" bestFit="1" customWidth="1"/>
    <col min="3360" max="3360" width="10.28515625" bestFit="1" customWidth="1"/>
    <col min="3361" max="3361" width="18.140625" bestFit="1" customWidth="1"/>
    <col min="3362" max="3362" width="9.5703125" customWidth="1"/>
    <col min="3363" max="3363" width="16.5703125" bestFit="1" customWidth="1"/>
    <col min="3364" max="3364" width="8.85546875" customWidth="1"/>
    <col min="3365" max="3365" width="16.5703125" bestFit="1" customWidth="1"/>
    <col min="3366" max="3366" width="7" customWidth="1"/>
    <col min="3367" max="3367" width="16.5703125" bestFit="1" customWidth="1"/>
    <col min="3368" max="3368" width="8.85546875" customWidth="1"/>
    <col min="3369" max="3369" width="16.5703125" bestFit="1" customWidth="1"/>
    <col min="3370" max="3370" width="8.140625" customWidth="1"/>
    <col min="3371" max="3371" width="9.85546875" customWidth="1"/>
    <col min="3372" max="3372" width="10.5703125" customWidth="1"/>
    <col min="3373" max="3373" width="18.42578125" bestFit="1" customWidth="1"/>
    <col min="3374" max="3375" width="6.5703125" customWidth="1"/>
    <col min="3376" max="3376" width="10.28515625" bestFit="1" customWidth="1"/>
    <col min="3377" max="3377" width="19.28515625" bestFit="1" customWidth="1"/>
    <col min="3378" max="3378" width="10.28515625" bestFit="1" customWidth="1"/>
    <col min="3379" max="3379" width="17.7109375" bestFit="1" customWidth="1"/>
    <col min="3380" max="3380" width="10.5703125" customWidth="1"/>
    <col min="3381" max="3381" width="18.140625" customWidth="1"/>
    <col min="3611" max="3611" width="37" bestFit="1" customWidth="1"/>
    <col min="3612" max="3612" width="8.85546875" customWidth="1"/>
    <col min="3613" max="3613" width="14.140625" customWidth="1"/>
    <col min="3614" max="3614" width="8" customWidth="1"/>
    <col min="3615" max="3615" width="17.7109375" bestFit="1" customWidth="1"/>
    <col min="3616" max="3616" width="10.28515625" bestFit="1" customWidth="1"/>
    <col min="3617" max="3617" width="18.140625" bestFit="1" customWidth="1"/>
    <col min="3618" max="3618" width="9.5703125" customWidth="1"/>
    <col min="3619" max="3619" width="16.5703125" bestFit="1" customWidth="1"/>
    <col min="3620" max="3620" width="8.85546875" customWidth="1"/>
    <col min="3621" max="3621" width="16.5703125" bestFit="1" customWidth="1"/>
    <col min="3622" max="3622" width="7" customWidth="1"/>
    <col min="3623" max="3623" width="16.5703125" bestFit="1" customWidth="1"/>
    <col min="3624" max="3624" width="8.85546875" customWidth="1"/>
    <col min="3625" max="3625" width="16.5703125" bestFit="1" customWidth="1"/>
    <col min="3626" max="3626" width="8.140625" customWidth="1"/>
    <col min="3627" max="3627" width="9.85546875" customWidth="1"/>
    <col min="3628" max="3628" width="10.5703125" customWidth="1"/>
    <col min="3629" max="3629" width="18.42578125" bestFit="1" customWidth="1"/>
    <col min="3630" max="3631" width="6.5703125" customWidth="1"/>
    <col min="3632" max="3632" width="10.28515625" bestFit="1" customWidth="1"/>
    <col min="3633" max="3633" width="19.28515625" bestFit="1" customWidth="1"/>
    <col min="3634" max="3634" width="10.28515625" bestFit="1" customWidth="1"/>
    <col min="3635" max="3635" width="17.7109375" bestFit="1" customWidth="1"/>
    <col min="3636" max="3636" width="10.5703125" customWidth="1"/>
    <col min="3637" max="3637" width="18.140625" customWidth="1"/>
    <col min="3867" max="3867" width="37" bestFit="1" customWidth="1"/>
    <col min="3868" max="3868" width="8.85546875" customWidth="1"/>
    <col min="3869" max="3869" width="14.140625" customWidth="1"/>
    <col min="3870" max="3870" width="8" customWidth="1"/>
    <col min="3871" max="3871" width="17.7109375" bestFit="1" customWidth="1"/>
    <col min="3872" max="3872" width="10.28515625" bestFit="1" customWidth="1"/>
    <col min="3873" max="3873" width="18.140625" bestFit="1" customWidth="1"/>
    <col min="3874" max="3874" width="9.5703125" customWidth="1"/>
    <col min="3875" max="3875" width="16.5703125" bestFit="1" customWidth="1"/>
    <col min="3876" max="3876" width="8.85546875" customWidth="1"/>
    <col min="3877" max="3877" width="16.5703125" bestFit="1" customWidth="1"/>
    <col min="3878" max="3878" width="7" customWidth="1"/>
    <col min="3879" max="3879" width="16.5703125" bestFit="1" customWidth="1"/>
    <col min="3880" max="3880" width="8.85546875" customWidth="1"/>
    <col min="3881" max="3881" width="16.5703125" bestFit="1" customWidth="1"/>
    <col min="3882" max="3882" width="8.140625" customWidth="1"/>
    <col min="3883" max="3883" width="9.85546875" customWidth="1"/>
    <col min="3884" max="3884" width="10.5703125" customWidth="1"/>
    <col min="3885" max="3885" width="18.42578125" bestFit="1" customWidth="1"/>
    <col min="3886" max="3887" width="6.5703125" customWidth="1"/>
    <col min="3888" max="3888" width="10.28515625" bestFit="1" customWidth="1"/>
    <col min="3889" max="3889" width="19.28515625" bestFit="1" customWidth="1"/>
    <col min="3890" max="3890" width="10.28515625" bestFit="1" customWidth="1"/>
    <col min="3891" max="3891" width="17.7109375" bestFit="1" customWidth="1"/>
    <col min="3892" max="3892" width="10.5703125" customWidth="1"/>
    <col min="3893" max="3893" width="18.140625" customWidth="1"/>
    <col min="4123" max="4123" width="37" bestFit="1" customWidth="1"/>
    <col min="4124" max="4124" width="8.85546875" customWidth="1"/>
    <col min="4125" max="4125" width="14.140625" customWidth="1"/>
    <col min="4126" max="4126" width="8" customWidth="1"/>
    <col min="4127" max="4127" width="17.7109375" bestFit="1" customWidth="1"/>
    <col min="4128" max="4128" width="10.28515625" bestFit="1" customWidth="1"/>
    <col min="4129" max="4129" width="18.140625" bestFit="1" customWidth="1"/>
    <col min="4130" max="4130" width="9.5703125" customWidth="1"/>
    <col min="4131" max="4131" width="16.5703125" bestFit="1" customWidth="1"/>
    <col min="4132" max="4132" width="8.85546875" customWidth="1"/>
    <col min="4133" max="4133" width="16.5703125" bestFit="1" customWidth="1"/>
    <col min="4134" max="4134" width="7" customWidth="1"/>
    <col min="4135" max="4135" width="16.5703125" bestFit="1" customWidth="1"/>
    <col min="4136" max="4136" width="8.85546875" customWidth="1"/>
    <col min="4137" max="4137" width="16.5703125" bestFit="1" customWidth="1"/>
    <col min="4138" max="4138" width="8.140625" customWidth="1"/>
    <col min="4139" max="4139" width="9.85546875" customWidth="1"/>
    <col min="4140" max="4140" width="10.5703125" customWidth="1"/>
    <col min="4141" max="4141" width="18.42578125" bestFit="1" customWidth="1"/>
    <col min="4142" max="4143" width="6.5703125" customWidth="1"/>
    <col min="4144" max="4144" width="10.28515625" bestFit="1" customWidth="1"/>
    <col min="4145" max="4145" width="19.28515625" bestFit="1" customWidth="1"/>
    <col min="4146" max="4146" width="10.28515625" bestFit="1" customWidth="1"/>
    <col min="4147" max="4147" width="17.7109375" bestFit="1" customWidth="1"/>
    <col min="4148" max="4148" width="10.5703125" customWidth="1"/>
    <col min="4149" max="4149" width="18.140625" customWidth="1"/>
    <col min="4379" max="4379" width="37" bestFit="1" customWidth="1"/>
    <col min="4380" max="4380" width="8.85546875" customWidth="1"/>
    <col min="4381" max="4381" width="14.140625" customWidth="1"/>
    <col min="4382" max="4382" width="8" customWidth="1"/>
    <col min="4383" max="4383" width="17.7109375" bestFit="1" customWidth="1"/>
    <col min="4384" max="4384" width="10.28515625" bestFit="1" customWidth="1"/>
    <col min="4385" max="4385" width="18.140625" bestFit="1" customWidth="1"/>
    <col min="4386" max="4386" width="9.5703125" customWidth="1"/>
    <col min="4387" max="4387" width="16.5703125" bestFit="1" customWidth="1"/>
    <col min="4388" max="4388" width="8.85546875" customWidth="1"/>
    <col min="4389" max="4389" width="16.5703125" bestFit="1" customWidth="1"/>
    <col min="4390" max="4390" width="7" customWidth="1"/>
    <col min="4391" max="4391" width="16.5703125" bestFit="1" customWidth="1"/>
    <col min="4392" max="4392" width="8.85546875" customWidth="1"/>
    <col min="4393" max="4393" width="16.5703125" bestFit="1" customWidth="1"/>
    <col min="4394" max="4394" width="8.140625" customWidth="1"/>
    <col min="4395" max="4395" width="9.85546875" customWidth="1"/>
    <col min="4396" max="4396" width="10.5703125" customWidth="1"/>
    <col min="4397" max="4397" width="18.42578125" bestFit="1" customWidth="1"/>
    <col min="4398" max="4399" width="6.5703125" customWidth="1"/>
    <col min="4400" max="4400" width="10.28515625" bestFit="1" customWidth="1"/>
    <col min="4401" max="4401" width="19.28515625" bestFit="1" customWidth="1"/>
    <col min="4402" max="4402" width="10.28515625" bestFit="1" customWidth="1"/>
    <col min="4403" max="4403" width="17.7109375" bestFit="1" customWidth="1"/>
    <col min="4404" max="4404" width="10.5703125" customWidth="1"/>
    <col min="4405" max="4405" width="18.140625" customWidth="1"/>
    <col min="4635" max="4635" width="37" bestFit="1" customWidth="1"/>
    <col min="4636" max="4636" width="8.85546875" customWidth="1"/>
    <col min="4637" max="4637" width="14.140625" customWidth="1"/>
    <col min="4638" max="4638" width="8" customWidth="1"/>
    <col min="4639" max="4639" width="17.7109375" bestFit="1" customWidth="1"/>
    <col min="4640" max="4640" width="10.28515625" bestFit="1" customWidth="1"/>
    <col min="4641" max="4641" width="18.140625" bestFit="1" customWidth="1"/>
    <col min="4642" max="4642" width="9.5703125" customWidth="1"/>
    <col min="4643" max="4643" width="16.5703125" bestFit="1" customWidth="1"/>
    <col min="4644" max="4644" width="8.85546875" customWidth="1"/>
    <col min="4645" max="4645" width="16.5703125" bestFit="1" customWidth="1"/>
    <col min="4646" max="4646" width="7" customWidth="1"/>
    <col min="4647" max="4647" width="16.5703125" bestFit="1" customWidth="1"/>
    <col min="4648" max="4648" width="8.85546875" customWidth="1"/>
    <col min="4649" max="4649" width="16.5703125" bestFit="1" customWidth="1"/>
    <col min="4650" max="4650" width="8.140625" customWidth="1"/>
    <col min="4651" max="4651" width="9.85546875" customWidth="1"/>
    <col min="4652" max="4652" width="10.5703125" customWidth="1"/>
    <col min="4653" max="4653" width="18.42578125" bestFit="1" customWidth="1"/>
    <col min="4654" max="4655" width="6.5703125" customWidth="1"/>
    <col min="4656" max="4656" width="10.28515625" bestFit="1" customWidth="1"/>
    <col min="4657" max="4657" width="19.28515625" bestFit="1" customWidth="1"/>
    <col min="4658" max="4658" width="10.28515625" bestFit="1" customWidth="1"/>
    <col min="4659" max="4659" width="17.7109375" bestFit="1" customWidth="1"/>
    <col min="4660" max="4660" width="10.5703125" customWidth="1"/>
    <col min="4661" max="4661" width="18.140625" customWidth="1"/>
    <col min="4891" max="4891" width="37" bestFit="1" customWidth="1"/>
    <col min="4892" max="4892" width="8.85546875" customWidth="1"/>
    <col min="4893" max="4893" width="14.140625" customWidth="1"/>
    <col min="4894" max="4894" width="8" customWidth="1"/>
    <col min="4895" max="4895" width="17.7109375" bestFit="1" customWidth="1"/>
    <col min="4896" max="4896" width="10.28515625" bestFit="1" customWidth="1"/>
    <col min="4897" max="4897" width="18.140625" bestFit="1" customWidth="1"/>
    <col min="4898" max="4898" width="9.5703125" customWidth="1"/>
    <col min="4899" max="4899" width="16.5703125" bestFit="1" customWidth="1"/>
    <col min="4900" max="4900" width="8.85546875" customWidth="1"/>
    <col min="4901" max="4901" width="16.5703125" bestFit="1" customWidth="1"/>
    <col min="4902" max="4902" width="7" customWidth="1"/>
    <col min="4903" max="4903" width="16.5703125" bestFit="1" customWidth="1"/>
    <col min="4904" max="4904" width="8.85546875" customWidth="1"/>
    <col min="4905" max="4905" width="16.5703125" bestFit="1" customWidth="1"/>
    <col min="4906" max="4906" width="8.140625" customWidth="1"/>
    <col min="4907" max="4907" width="9.85546875" customWidth="1"/>
    <col min="4908" max="4908" width="10.5703125" customWidth="1"/>
    <col min="4909" max="4909" width="18.42578125" bestFit="1" customWidth="1"/>
    <col min="4910" max="4911" width="6.5703125" customWidth="1"/>
    <col min="4912" max="4912" width="10.28515625" bestFit="1" customWidth="1"/>
    <col min="4913" max="4913" width="19.28515625" bestFit="1" customWidth="1"/>
    <col min="4914" max="4914" width="10.28515625" bestFit="1" customWidth="1"/>
    <col min="4915" max="4915" width="17.7109375" bestFit="1" customWidth="1"/>
    <col min="4916" max="4916" width="10.5703125" customWidth="1"/>
    <col min="4917" max="4917" width="18.140625" customWidth="1"/>
    <col min="5147" max="5147" width="37" bestFit="1" customWidth="1"/>
    <col min="5148" max="5148" width="8.85546875" customWidth="1"/>
    <col min="5149" max="5149" width="14.140625" customWidth="1"/>
    <col min="5150" max="5150" width="8" customWidth="1"/>
    <col min="5151" max="5151" width="17.7109375" bestFit="1" customWidth="1"/>
    <col min="5152" max="5152" width="10.28515625" bestFit="1" customWidth="1"/>
    <col min="5153" max="5153" width="18.140625" bestFit="1" customWidth="1"/>
    <col min="5154" max="5154" width="9.5703125" customWidth="1"/>
    <col min="5155" max="5155" width="16.5703125" bestFit="1" customWidth="1"/>
    <col min="5156" max="5156" width="8.85546875" customWidth="1"/>
    <col min="5157" max="5157" width="16.5703125" bestFit="1" customWidth="1"/>
    <col min="5158" max="5158" width="7" customWidth="1"/>
    <col min="5159" max="5159" width="16.5703125" bestFit="1" customWidth="1"/>
    <col min="5160" max="5160" width="8.85546875" customWidth="1"/>
    <col min="5161" max="5161" width="16.5703125" bestFit="1" customWidth="1"/>
    <col min="5162" max="5162" width="8.140625" customWidth="1"/>
    <col min="5163" max="5163" width="9.85546875" customWidth="1"/>
    <col min="5164" max="5164" width="10.5703125" customWidth="1"/>
    <col min="5165" max="5165" width="18.42578125" bestFit="1" customWidth="1"/>
    <col min="5166" max="5167" width="6.5703125" customWidth="1"/>
    <col min="5168" max="5168" width="10.28515625" bestFit="1" customWidth="1"/>
    <col min="5169" max="5169" width="19.28515625" bestFit="1" customWidth="1"/>
    <col min="5170" max="5170" width="10.28515625" bestFit="1" customWidth="1"/>
    <col min="5171" max="5171" width="17.7109375" bestFit="1" customWidth="1"/>
    <col min="5172" max="5172" width="10.5703125" customWidth="1"/>
    <col min="5173" max="5173" width="18.140625" customWidth="1"/>
    <col min="5403" max="5403" width="37" bestFit="1" customWidth="1"/>
    <col min="5404" max="5404" width="8.85546875" customWidth="1"/>
    <col min="5405" max="5405" width="14.140625" customWidth="1"/>
    <col min="5406" max="5406" width="8" customWidth="1"/>
    <col min="5407" max="5407" width="17.7109375" bestFit="1" customWidth="1"/>
    <col min="5408" max="5408" width="10.28515625" bestFit="1" customWidth="1"/>
    <col min="5409" max="5409" width="18.140625" bestFit="1" customWidth="1"/>
    <col min="5410" max="5410" width="9.5703125" customWidth="1"/>
    <col min="5411" max="5411" width="16.5703125" bestFit="1" customWidth="1"/>
    <col min="5412" max="5412" width="8.85546875" customWidth="1"/>
    <col min="5413" max="5413" width="16.5703125" bestFit="1" customWidth="1"/>
    <col min="5414" max="5414" width="7" customWidth="1"/>
    <col min="5415" max="5415" width="16.5703125" bestFit="1" customWidth="1"/>
    <col min="5416" max="5416" width="8.85546875" customWidth="1"/>
    <col min="5417" max="5417" width="16.5703125" bestFit="1" customWidth="1"/>
    <col min="5418" max="5418" width="8.140625" customWidth="1"/>
    <col min="5419" max="5419" width="9.85546875" customWidth="1"/>
    <col min="5420" max="5420" width="10.5703125" customWidth="1"/>
    <col min="5421" max="5421" width="18.42578125" bestFit="1" customWidth="1"/>
    <col min="5422" max="5423" width="6.5703125" customWidth="1"/>
    <col min="5424" max="5424" width="10.28515625" bestFit="1" customWidth="1"/>
    <col min="5425" max="5425" width="19.28515625" bestFit="1" customWidth="1"/>
    <col min="5426" max="5426" width="10.28515625" bestFit="1" customWidth="1"/>
    <col min="5427" max="5427" width="17.7109375" bestFit="1" customWidth="1"/>
    <col min="5428" max="5428" width="10.5703125" customWidth="1"/>
    <col min="5429" max="5429" width="18.140625" customWidth="1"/>
    <col min="5659" max="5659" width="37" bestFit="1" customWidth="1"/>
    <col min="5660" max="5660" width="8.85546875" customWidth="1"/>
    <col min="5661" max="5661" width="14.140625" customWidth="1"/>
    <col min="5662" max="5662" width="8" customWidth="1"/>
    <col min="5663" max="5663" width="17.7109375" bestFit="1" customWidth="1"/>
    <col min="5664" max="5664" width="10.28515625" bestFit="1" customWidth="1"/>
    <col min="5665" max="5665" width="18.140625" bestFit="1" customWidth="1"/>
    <col min="5666" max="5666" width="9.5703125" customWidth="1"/>
    <col min="5667" max="5667" width="16.5703125" bestFit="1" customWidth="1"/>
    <col min="5668" max="5668" width="8.85546875" customWidth="1"/>
    <col min="5669" max="5669" width="16.5703125" bestFit="1" customWidth="1"/>
    <col min="5670" max="5670" width="7" customWidth="1"/>
    <col min="5671" max="5671" width="16.5703125" bestFit="1" customWidth="1"/>
    <col min="5672" max="5672" width="8.85546875" customWidth="1"/>
    <col min="5673" max="5673" width="16.5703125" bestFit="1" customWidth="1"/>
    <col min="5674" max="5674" width="8.140625" customWidth="1"/>
    <col min="5675" max="5675" width="9.85546875" customWidth="1"/>
    <col min="5676" max="5676" width="10.5703125" customWidth="1"/>
    <col min="5677" max="5677" width="18.42578125" bestFit="1" customWidth="1"/>
    <col min="5678" max="5679" width="6.5703125" customWidth="1"/>
    <col min="5680" max="5680" width="10.28515625" bestFit="1" customWidth="1"/>
    <col min="5681" max="5681" width="19.28515625" bestFit="1" customWidth="1"/>
    <col min="5682" max="5682" width="10.28515625" bestFit="1" customWidth="1"/>
    <col min="5683" max="5683" width="17.7109375" bestFit="1" customWidth="1"/>
    <col min="5684" max="5684" width="10.5703125" customWidth="1"/>
    <col min="5685" max="5685" width="18.140625" customWidth="1"/>
    <col min="5915" max="5915" width="37" bestFit="1" customWidth="1"/>
    <col min="5916" max="5916" width="8.85546875" customWidth="1"/>
    <col min="5917" max="5917" width="14.140625" customWidth="1"/>
    <col min="5918" max="5918" width="8" customWidth="1"/>
    <col min="5919" max="5919" width="17.7109375" bestFit="1" customWidth="1"/>
    <col min="5920" max="5920" width="10.28515625" bestFit="1" customWidth="1"/>
    <col min="5921" max="5921" width="18.140625" bestFit="1" customWidth="1"/>
    <col min="5922" max="5922" width="9.5703125" customWidth="1"/>
    <col min="5923" max="5923" width="16.5703125" bestFit="1" customWidth="1"/>
    <col min="5924" max="5924" width="8.85546875" customWidth="1"/>
    <col min="5925" max="5925" width="16.5703125" bestFit="1" customWidth="1"/>
    <col min="5926" max="5926" width="7" customWidth="1"/>
    <col min="5927" max="5927" width="16.5703125" bestFit="1" customWidth="1"/>
    <col min="5928" max="5928" width="8.85546875" customWidth="1"/>
    <col min="5929" max="5929" width="16.5703125" bestFit="1" customWidth="1"/>
    <col min="5930" max="5930" width="8.140625" customWidth="1"/>
    <col min="5931" max="5931" width="9.85546875" customWidth="1"/>
    <col min="5932" max="5932" width="10.5703125" customWidth="1"/>
    <col min="5933" max="5933" width="18.42578125" bestFit="1" customWidth="1"/>
    <col min="5934" max="5935" width="6.5703125" customWidth="1"/>
    <col min="5936" max="5936" width="10.28515625" bestFit="1" customWidth="1"/>
    <col min="5937" max="5937" width="19.28515625" bestFit="1" customWidth="1"/>
    <col min="5938" max="5938" width="10.28515625" bestFit="1" customWidth="1"/>
    <col min="5939" max="5939" width="17.7109375" bestFit="1" customWidth="1"/>
    <col min="5940" max="5940" width="10.5703125" customWidth="1"/>
    <col min="5941" max="5941" width="18.140625" customWidth="1"/>
    <col min="6171" max="6171" width="37" bestFit="1" customWidth="1"/>
    <col min="6172" max="6172" width="8.85546875" customWidth="1"/>
    <col min="6173" max="6173" width="14.140625" customWidth="1"/>
    <col min="6174" max="6174" width="8" customWidth="1"/>
    <col min="6175" max="6175" width="17.7109375" bestFit="1" customWidth="1"/>
    <col min="6176" max="6176" width="10.28515625" bestFit="1" customWidth="1"/>
    <col min="6177" max="6177" width="18.140625" bestFit="1" customWidth="1"/>
    <col min="6178" max="6178" width="9.5703125" customWidth="1"/>
    <col min="6179" max="6179" width="16.5703125" bestFit="1" customWidth="1"/>
    <col min="6180" max="6180" width="8.85546875" customWidth="1"/>
    <col min="6181" max="6181" width="16.5703125" bestFit="1" customWidth="1"/>
    <col min="6182" max="6182" width="7" customWidth="1"/>
    <col min="6183" max="6183" width="16.5703125" bestFit="1" customWidth="1"/>
    <col min="6184" max="6184" width="8.85546875" customWidth="1"/>
    <col min="6185" max="6185" width="16.5703125" bestFit="1" customWidth="1"/>
    <col min="6186" max="6186" width="8.140625" customWidth="1"/>
    <col min="6187" max="6187" width="9.85546875" customWidth="1"/>
    <col min="6188" max="6188" width="10.5703125" customWidth="1"/>
    <col min="6189" max="6189" width="18.42578125" bestFit="1" customWidth="1"/>
    <col min="6190" max="6191" width="6.5703125" customWidth="1"/>
    <col min="6192" max="6192" width="10.28515625" bestFit="1" customWidth="1"/>
    <col min="6193" max="6193" width="19.28515625" bestFit="1" customWidth="1"/>
    <col min="6194" max="6194" width="10.28515625" bestFit="1" customWidth="1"/>
    <col min="6195" max="6195" width="17.7109375" bestFit="1" customWidth="1"/>
    <col min="6196" max="6196" width="10.5703125" customWidth="1"/>
    <col min="6197" max="6197" width="18.140625" customWidth="1"/>
    <col min="6427" max="6427" width="37" bestFit="1" customWidth="1"/>
    <col min="6428" max="6428" width="8.85546875" customWidth="1"/>
    <col min="6429" max="6429" width="14.140625" customWidth="1"/>
    <col min="6430" max="6430" width="8" customWidth="1"/>
    <col min="6431" max="6431" width="17.7109375" bestFit="1" customWidth="1"/>
    <col min="6432" max="6432" width="10.28515625" bestFit="1" customWidth="1"/>
    <col min="6433" max="6433" width="18.140625" bestFit="1" customWidth="1"/>
    <col min="6434" max="6434" width="9.5703125" customWidth="1"/>
    <col min="6435" max="6435" width="16.5703125" bestFit="1" customWidth="1"/>
    <col min="6436" max="6436" width="8.85546875" customWidth="1"/>
    <col min="6437" max="6437" width="16.5703125" bestFit="1" customWidth="1"/>
    <col min="6438" max="6438" width="7" customWidth="1"/>
    <col min="6439" max="6439" width="16.5703125" bestFit="1" customWidth="1"/>
    <col min="6440" max="6440" width="8.85546875" customWidth="1"/>
    <col min="6441" max="6441" width="16.5703125" bestFit="1" customWidth="1"/>
    <col min="6442" max="6442" width="8.140625" customWidth="1"/>
    <col min="6443" max="6443" width="9.85546875" customWidth="1"/>
    <col min="6444" max="6444" width="10.5703125" customWidth="1"/>
    <col min="6445" max="6445" width="18.42578125" bestFit="1" customWidth="1"/>
    <col min="6446" max="6447" width="6.5703125" customWidth="1"/>
    <col min="6448" max="6448" width="10.28515625" bestFit="1" customWidth="1"/>
    <col min="6449" max="6449" width="19.28515625" bestFit="1" customWidth="1"/>
    <col min="6450" max="6450" width="10.28515625" bestFit="1" customWidth="1"/>
    <col min="6451" max="6451" width="17.7109375" bestFit="1" customWidth="1"/>
    <col min="6452" max="6452" width="10.5703125" customWidth="1"/>
    <col min="6453" max="6453" width="18.140625" customWidth="1"/>
    <col min="6683" max="6683" width="37" bestFit="1" customWidth="1"/>
    <col min="6684" max="6684" width="8.85546875" customWidth="1"/>
    <col min="6685" max="6685" width="14.140625" customWidth="1"/>
    <col min="6686" max="6686" width="8" customWidth="1"/>
    <col min="6687" max="6687" width="17.7109375" bestFit="1" customWidth="1"/>
    <col min="6688" max="6688" width="10.28515625" bestFit="1" customWidth="1"/>
    <col min="6689" max="6689" width="18.140625" bestFit="1" customWidth="1"/>
    <col min="6690" max="6690" width="9.5703125" customWidth="1"/>
    <col min="6691" max="6691" width="16.5703125" bestFit="1" customWidth="1"/>
    <col min="6692" max="6692" width="8.85546875" customWidth="1"/>
    <col min="6693" max="6693" width="16.5703125" bestFit="1" customWidth="1"/>
    <col min="6694" max="6694" width="7" customWidth="1"/>
    <col min="6695" max="6695" width="16.5703125" bestFit="1" customWidth="1"/>
    <col min="6696" max="6696" width="8.85546875" customWidth="1"/>
    <col min="6697" max="6697" width="16.5703125" bestFit="1" customWidth="1"/>
    <col min="6698" max="6698" width="8.140625" customWidth="1"/>
    <col min="6699" max="6699" width="9.85546875" customWidth="1"/>
    <col min="6700" max="6700" width="10.5703125" customWidth="1"/>
    <col min="6701" max="6701" width="18.42578125" bestFit="1" customWidth="1"/>
    <col min="6702" max="6703" width="6.5703125" customWidth="1"/>
    <col min="6704" max="6704" width="10.28515625" bestFit="1" customWidth="1"/>
    <col min="6705" max="6705" width="19.28515625" bestFit="1" customWidth="1"/>
    <col min="6706" max="6706" width="10.28515625" bestFit="1" customWidth="1"/>
    <col min="6707" max="6707" width="17.7109375" bestFit="1" customWidth="1"/>
    <col min="6708" max="6708" width="10.5703125" customWidth="1"/>
    <col min="6709" max="6709" width="18.140625" customWidth="1"/>
    <col min="6939" max="6939" width="37" bestFit="1" customWidth="1"/>
    <col min="6940" max="6940" width="8.85546875" customWidth="1"/>
    <col min="6941" max="6941" width="14.140625" customWidth="1"/>
    <col min="6942" max="6942" width="8" customWidth="1"/>
    <col min="6943" max="6943" width="17.7109375" bestFit="1" customWidth="1"/>
    <col min="6944" max="6944" width="10.28515625" bestFit="1" customWidth="1"/>
    <col min="6945" max="6945" width="18.140625" bestFit="1" customWidth="1"/>
    <col min="6946" max="6946" width="9.5703125" customWidth="1"/>
    <col min="6947" max="6947" width="16.5703125" bestFit="1" customWidth="1"/>
    <col min="6948" max="6948" width="8.85546875" customWidth="1"/>
    <col min="6949" max="6949" width="16.5703125" bestFit="1" customWidth="1"/>
    <col min="6950" max="6950" width="7" customWidth="1"/>
    <col min="6951" max="6951" width="16.5703125" bestFit="1" customWidth="1"/>
    <col min="6952" max="6952" width="8.85546875" customWidth="1"/>
    <col min="6953" max="6953" width="16.5703125" bestFit="1" customWidth="1"/>
    <col min="6954" max="6954" width="8.140625" customWidth="1"/>
    <col min="6955" max="6955" width="9.85546875" customWidth="1"/>
    <col min="6956" max="6956" width="10.5703125" customWidth="1"/>
    <col min="6957" max="6957" width="18.42578125" bestFit="1" customWidth="1"/>
    <col min="6958" max="6959" width="6.5703125" customWidth="1"/>
    <col min="6960" max="6960" width="10.28515625" bestFit="1" customWidth="1"/>
    <col min="6961" max="6961" width="19.28515625" bestFit="1" customWidth="1"/>
    <col min="6962" max="6962" width="10.28515625" bestFit="1" customWidth="1"/>
    <col min="6963" max="6963" width="17.7109375" bestFit="1" customWidth="1"/>
    <col min="6964" max="6964" width="10.5703125" customWidth="1"/>
    <col min="6965" max="6965" width="18.140625" customWidth="1"/>
    <col min="7195" max="7195" width="37" bestFit="1" customWidth="1"/>
    <col min="7196" max="7196" width="8.85546875" customWidth="1"/>
    <col min="7197" max="7197" width="14.140625" customWidth="1"/>
    <col min="7198" max="7198" width="8" customWidth="1"/>
    <col min="7199" max="7199" width="17.7109375" bestFit="1" customWidth="1"/>
    <col min="7200" max="7200" width="10.28515625" bestFit="1" customWidth="1"/>
    <col min="7201" max="7201" width="18.140625" bestFit="1" customWidth="1"/>
    <col min="7202" max="7202" width="9.5703125" customWidth="1"/>
    <col min="7203" max="7203" width="16.5703125" bestFit="1" customWidth="1"/>
    <col min="7204" max="7204" width="8.85546875" customWidth="1"/>
    <col min="7205" max="7205" width="16.5703125" bestFit="1" customWidth="1"/>
    <col min="7206" max="7206" width="7" customWidth="1"/>
    <col min="7207" max="7207" width="16.5703125" bestFit="1" customWidth="1"/>
    <col min="7208" max="7208" width="8.85546875" customWidth="1"/>
    <col min="7209" max="7209" width="16.5703125" bestFit="1" customWidth="1"/>
    <col min="7210" max="7210" width="8.140625" customWidth="1"/>
    <col min="7211" max="7211" width="9.85546875" customWidth="1"/>
    <col min="7212" max="7212" width="10.5703125" customWidth="1"/>
    <col min="7213" max="7213" width="18.42578125" bestFit="1" customWidth="1"/>
    <col min="7214" max="7215" width="6.5703125" customWidth="1"/>
    <col min="7216" max="7216" width="10.28515625" bestFit="1" customWidth="1"/>
    <col min="7217" max="7217" width="19.28515625" bestFit="1" customWidth="1"/>
    <col min="7218" max="7218" width="10.28515625" bestFit="1" customWidth="1"/>
    <col min="7219" max="7219" width="17.7109375" bestFit="1" customWidth="1"/>
    <col min="7220" max="7220" width="10.5703125" customWidth="1"/>
    <col min="7221" max="7221" width="18.140625" customWidth="1"/>
    <col min="7451" max="7451" width="37" bestFit="1" customWidth="1"/>
    <col min="7452" max="7452" width="8.85546875" customWidth="1"/>
    <col min="7453" max="7453" width="14.140625" customWidth="1"/>
    <col min="7454" max="7454" width="8" customWidth="1"/>
    <col min="7455" max="7455" width="17.7109375" bestFit="1" customWidth="1"/>
    <col min="7456" max="7456" width="10.28515625" bestFit="1" customWidth="1"/>
    <col min="7457" max="7457" width="18.140625" bestFit="1" customWidth="1"/>
    <col min="7458" max="7458" width="9.5703125" customWidth="1"/>
    <col min="7459" max="7459" width="16.5703125" bestFit="1" customWidth="1"/>
    <col min="7460" max="7460" width="8.85546875" customWidth="1"/>
    <col min="7461" max="7461" width="16.5703125" bestFit="1" customWidth="1"/>
    <col min="7462" max="7462" width="7" customWidth="1"/>
    <col min="7463" max="7463" width="16.5703125" bestFit="1" customWidth="1"/>
    <col min="7464" max="7464" width="8.85546875" customWidth="1"/>
    <col min="7465" max="7465" width="16.5703125" bestFit="1" customWidth="1"/>
    <col min="7466" max="7466" width="8.140625" customWidth="1"/>
    <col min="7467" max="7467" width="9.85546875" customWidth="1"/>
    <col min="7468" max="7468" width="10.5703125" customWidth="1"/>
    <col min="7469" max="7469" width="18.42578125" bestFit="1" customWidth="1"/>
    <col min="7470" max="7471" width="6.5703125" customWidth="1"/>
    <col min="7472" max="7472" width="10.28515625" bestFit="1" customWidth="1"/>
    <col min="7473" max="7473" width="19.28515625" bestFit="1" customWidth="1"/>
    <col min="7474" max="7474" width="10.28515625" bestFit="1" customWidth="1"/>
    <col min="7475" max="7475" width="17.7109375" bestFit="1" customWidth="1"/>
    <col min="7476" max="7476" width="10.5703125" customWidth="1"/>
    <col min="7477" max="7477" width="18.140625" customWidth="1"/>
    <col min="7707" max="7707" width="37" bestFit="1" customWidth="1"/>
    <col min="7708" max="7708" width="8.85546875" customWidth="1"/>
    <col min="7709" max="7709" width="14.140625" customWidth="1"/>
    <col min="7710" max="7710" width="8" customWidth="1"/>
    <col min="7711" max="7711" width="17.7109375" bestFit="1" customWidth="1"/>
    <col min="7712" max="7712" width="10.28515625" bestFit="1" customWidth="1"/>
    <col min="7713" max="7713" width="18.140625" bestFit="1" customWidth="1"/>
    <col min="7714" max="7714" width="9.5703125" customWidth="1"/>
    <col min="7715" max="7715" width="16.5703125" bestFit="1" customWidth="1"/>
    <col min="7716" max="7716" width="8.85546875" customWidth="1"/>
    <col min="7717" max="7717" width="16.5703125" bestFit="1" customWidth="1"/>
    <col min="7718" max="7718" width="7" customWidth="1"/>
    <col min="7719" max="7719" width="16.5703125" bestFit="1" customWidth="1"/>
    <col min="7720" max="7720" width="8.85546875" customWidth="1"/>
    <col min="7721" max="7721" width="16.5703125" bestFit="1" customWidth="1"/>
    <col min="7722" max="7722" width="8.140625" customWidth="1"/>
    <col min="7723" max="7723" width="9.85546875" customWidth="1"/>
    <col min="7724" max="7724" width="10.5703125" customWidth="1"/>
    <col min="7725" max="7725" width="18.42578125" bestFit="1" customWidth="1"/>
    <col min="7726" max="7727" width="6.5703125" customWidth="1"/>
    <col min="7728" max="7728" width="10.28515625" bestFit="1" customWidth="1"/>
    <col min="7729" max="7729" width="19.28515625" bestFit="1" customWidth="1"/>
    <col min="7730" max="7730" width="10.28515625" bestFit="1" customWidth="1"/>
    <col min="7731" max="7731" width="17.7109375" bestFit="1" customWidth="1"/>
    <col min="7732" max="7732" width="10.5703125" customWidth="1"/>
    <col min="7733" max="7733" width="18.140625" customWidth="1"/>
    <col min="7963" max="7963" width="37" bestFit="1" customWidth="1"/>
    <col min="7964" max="7964" width="8.85546875" customWidth="1"/>
    <col min="7965" max="7965" width="14.140625" customWidth="1"/>
    <col min="7966" max="7966" width="8" customWidth="1"/>
    <col min="7967" max="7967" width="17.7109375" bestFit="1" customWidth="1"/>
    <col min="7968" max="7968" width="10.28515625" bestFit="1" customWidth="1"/>
    <col min="7969" max="7969" width="18.140625" bestFit="1" customWidth="1"/>
    <col min="7970" max="7970" width="9.5703125" customWidth="1"/>
    <col min="7971" max="7971" width="16.5703125" bestFit="1" customWidth="1"/>
    <col min="7972" max="7972" width="8.85546875" customWidth="1"/>
    <col min="7973" max="7973" width="16.5703125" bestFit="1" customWidth="1"/>
    <col min="7974" max="7974" width="7" customWidth="1"/>
    <col min="7975" max="7975" width="16.5703125" bestFit="1" customWidth="1"/>
    <col min="7976" max="7976" width="8.85546875" customWidth="1"/>
    <col min="7977" max="7977" width="16.5703125" bestFit="1" customWidth="1"/>
    <col min="7978" max="7978" width="8.140625" customWidth="1"/>
    <col min="7979" max="7979" width="9.85546875" customWidth="1"/>
    <col min="7980" max="7980" width="10.5703125" customWidth="1"/>
    <col min="7981" max="7981" width="18.42578125" bestFit="1" customWidth="1"/>
    <col min="7982" max="7983" width="6.5703125" customWidth="1"/>
    <col min="7984" max="7984" width="10.28515625" bestFit="1" customWidth="1"/>
    <col min="7985" max="7985" width="19.28515625" bestFit="1" customWidth="1"/>
    <col min="7986" max="7986" width="10.28515625" bestFit="1" customWidth="1"/>
    <col min="7987" max="7987" width="17.7109375" bestFit="1" customWidth="1"/>
    <col min="7988" max="7988" width="10.5703125" customWidth="1"/>
    <col min="7989" max="7989" width="18.140625" customWidth="1"/>
    <col min="8219" max="8219" width="37" bestFit="1" customWidth="1"/>
    <col min="8220" max="8220" width="8.85546875" customWidth="1"/>
    <col min="8221" max="8221" width="14.140625" customWidth="1"/>
    <col min="8222" max="8222" width="8" customWidth="1"/>
    <col min="8223" max="8223" width="17.7109375" bestFit="1" customWidth="1"/>
    <col min="8224" max="8224" width="10.28515625" bestFit="1" customWidth="1"/>
    <col min="8225" max="8225" width="18.140625" bestFit="1" customWidth="1"/>
    <col min="8226" max="8226" width="9.5703125" customWidth="1"/>
    <col min="8227" max="8227" width="16.5703125" bestFit="1" customWidth="1"/>
    <col min="8228" max="8228" width="8.85546875" customWidth="1"/>
    <col min="8229" max="8229" width="16.5703125" bestFit="1" customWidth="1"/>
    <col min="8230" max="8230" width="7" customWidth="1"/>
    <col min="8231" max="8231" width="16.5703125" bestFit="1" customWidth="1"/>
    <col min="8232" max="8232" width="8.85546875" customWidth="1"/>
    <col min="8233" max="8233" width="16.5703125" bestFit="1" customWidth="1"/>
    <col min="8234" max="8234" width="8.140625" customWidth="1"/>
    <col min="8235" max="8235" width="9.85546875" customWidth="1"/>
    <col min="8236" max="8236" width="10.5703125" customWidth="1"/>
    <col min="8237" max="8237" width="18.42578125" bestFit="1" customWidth="1"/>
    <col min="8238" max="8239" width="6.5703125" customWidth="1"/>
    <col min="8240" max="8240" width="10.28515625" bestFit="1" customWidth="1"/>
    <col min="8241" max="8241" width="19.28515625" bestFit="1" customWidth="1"/>
    <col min="8242" max="8242" width="10.28515625" bestFit="1" customWidth="1"/>
    <col min="8243" max="8243" width="17.7109375" bestFit="1" customWidth="1"/>
    <col min="8244" max="8244" width="10.5703125" customWidth="1"/>
    <col min="8245" max="8245" width="18.140625" customWidth="1"/>
    <col min="8475" max="8475" width="37" bestFit="1" customWidth="1"/>
    <col min="8476" max="8476" width="8.85546875" customWidth="1"/>
    <col min="8477" max="8477" width="14.140625" customWidth="1"/>
    <col min="8478" max="8478" width="8" customWidth="1"/>
    <col min="8479" max="8479" width="17.7109375" bestFit="1" customWidth="1"/>
    <col min="8480" max="8480" width="10.28515625" bestFit="1" customWidth="1"/>
    <col min="8481" max="8481" width="18.140625" bestFit="1" customWidth="1"/>
    <col min="8482" max="8482" width="9.5703125" customWidth="1"/>
    <col min="8483" max="8483" width="16.5703125" bestFit="1" customWidth="1"/>
    <col min="8484" max="8484" width="8.85546875" customWidth="1"/>
    <col min="8485" max="8485" width="16.5703125" bestFit="1" customWidth="1"/>
    <col min="8486" max="8486" width="7" customWidth="1"/>
    <col min="8487" max="8487" width="16.5703125" bestFit="1" customWidth="1"/>
    <col min="8488" max="8488" width="8.85546875" customWidth="1"/>
    <col min="8489" max="8489" width="16.5703125" bestFit="1" customWidth="1"/>
    <col min="8490" max="8490" width="8.140625" customWidth="1"/>
    <col min="8491" max="8491" width="9.85546875" customWidth="1"/>
    <col min="8492" max="8492" width="10.5703125" customWidth="1"/>
    <col min="8493" max="8493" width="18.42578125" bestFit="1" customWidth="1"/>
    <col min="8494" max="8495" width="6.5703125" customWidth="1"/>
    <col min="8496" max="8496" width="10.28515625" bestFit="1" customWidth="1"/>
    <col min="8497" max="8497" width="19.28515625" bestFit="1" customWidth="1"/>
    <col min="8498" max="8498" width="10.28515625" bestFit="1" customWidth="1"/>
    <col min="8499" max="8499" width="17.7109375" bestFit="1" customWidth="1"/>
    <col min="8500" max="8500" width="10.5703125" customWidth="1"/>
    <col min="8501" max="8501" width="18.140625" customWidth="1"/>
    <col min="8731" max="8731" width="37" bestFit="1" customWidth="1"/>
    <col min="8732" max="8732" width="8.85546875" customWidth="1"/>
    <col min="8733" max="8733" width="14.140625" customWidth="1"/>
    <col min="8734" max="8734" width="8" customWidth="1"/>
    <col min="8735" max="8735" width="17.7109375" bestFit="1" customWidth="1"/>
    <col min="8736" max="8736" width="10.28515625" bestFit="1" customWidth="1"/>
    <col min="8737" max="8737" width="18.140625" bestFit="1" customWidth="1"/>
    <col min="8738" max="8738" width="9.5703125" customWidth="1"/>
    <col min="8739" max="8739" width="16.5703125" bestFit="1" customWidth="1"/>
    <col min="8740" max="8740" width="8.85546875" customWidth="1"/>
    <col min="8741" max="8741" width="16.5703125" bestFit="1" customWidth="1"/>
    <col min="8742" max="8742" width="7" customWidth="1"/>
    <col min="8743" max="8743" width="16.5703125" bestFit="1" customWidth="1"/>
    <col min="8744" max="8744" width="8.85546875" customWidth="1"/>
    <col min="8745" max="8745" width="16.5703125" bestFit="1" customWidth="1"/>
    <col min="8746" max="8746" width="8.140625" customWidth="1"/>
    <col min="8747" max="8747" width="9.85546875" customWidth="1"/>
    <col min="8748" max="8748" width="10.5703125" customWidth="1"/>
    <col min="8749" max="8749" width="18.42578125" bestFit="1" customWidth="1"/>
    <col min="8750" max="8751" width="6.5703125" customWidth="1"/>
    <col min="8752" max="8752" width="10.28515625" bestFit="1" customWidth="1"/>
    <col min="8753" max="8753" width="19.28515625" bestFit="1" customWidth="1"/>
    <col min="8754" max="8754" width="10.28515625" bestFit="1" customWidth="1"/>
    <col min="8755" max="8755" width="17.7109375" bestFit="1" customWidth="1"/>
    <col min="8756" max="8756" width="10.5703125" customWidth="1"/>
    <col min="8757" max="8757" width="18.140625" customWidth="1"/>
    <col min="8987" max="8987" width="37" bestFit="1" customWidth="1"/>
    <col min="8988" max="8988" width="8.85546875" customWidth="1"/>
    <col min="8989" max="8989" width="14.140625" customWidth="1"/>
    <col min="8990" max="8990" width="8" customWidth="1"/>
    <col min="8991" max="8991" width="17.7109375" bestFit="1" customWidth="1"/>
    <col min="8992" max="8992" width="10.28515625" bestFit="1" customWidth="1"/>
    <col min="8993" max="8993" width="18.140625" bestFit="1" customWidth="1"/>
    <col min="8994" max="8994" width="9.5703125" customWidth="1"/>
    <col min="8995" max="8995" width="16.5703125" bestFit="1" customWidth="1"/>
    <col min="8996" max="8996" width="8.85546875" customWidth="1"/>
    <col min="8997" max="8997" width="16.5703125" bestFit="1" customWidth="1"/>
    <col min="8998" max="8998" width="7" customWidth="1"/>
    <col min="8999" max="8999" width="16.5703125" bestFit="1" customWidth="1"/>
    <col min="9000" max="9000" width="8.85546875" customWidth="1"/>
    <col min="9001" max="9001" width="16.5703125" bestFit="1" customWidth="1"/>
    <col min="9002" max="9002" width="8.140625" customWidth="1"/>
    <col min="9003" max="9003" width="9.85546875" customWidth="1"/>
    <col min="9004" max="9004" width="10.5703125" customWidth="1"/>
    <col min="9005" max="9005" width="18.42578125" bestFit="1" customWidth="1"/>
    <col min="9006" max="9007" width="6.5703125" customWidth="1"/>
    <col min="9008" max="9008" width="10.28515625" bestFit="1" customWidth="1"/>
    <col min="9009" max="9009" width="19.28515625" bestFit="1" customWidth="1"/>
    <col min="9010" max="9010" width="10.28515625" bestFit="1" customWidth="1"/>
    <col min="9011" max="9011" width="17.7109375" bestFit="1" customWidth="1"/>
    <col min="9012" max="9012" width="10.5703125" customWidth="1"/>
    <col min="9013" max="9013" width="18.140625" customWidth="1"/>
    <col min="9243" max="9243" width="37" bestFit="1" customWidth="1"/>
    <col min="9244" max="9244" width="8.85546875" customWidth="1"/>
    <col min="9245" max="9245" width="14.140625" customWidth="1"/>
    <col min="9246" max="9246" width="8" customWidth="1"/>
    <col min="9247" max="9247" width="17.7109375" bestFit="1" customWidth="1"/>
    <col min="9248" max="9248" width="10.28515625" bestFit="1" customWidth="1"/>
    <col min="9249" max="9249" width="18.140625" bestFit="1" customWidth="1"/>
    <col min="9250" max="9250" width="9.5703125" customWidth="1"/>
    <col min="9251" max="9251" width="16.5703125" bestFit="1" customWidth="1"/>
    <col min="9252" max="9252" width="8.85546875" customWidth="1"/>
    <col min="9253" max="9253" width="16.5703125" bestFit="1" customWidth="1"/>
    <col min="9254" max="9254" width="7" customWidth="1"/>
    <col min="9255" max="9255" width="16.5703125" bestFit="1" customWidth="1"/>
    <col min="9256" max="9256" width="8.85546875" customWidth="1"/>
    <col min="9257" max="9257" width="16.5703125" bestFit="1" customWidth="1"/>
    <col min="9258" max="9258" width="8.140625" customWidth="1"/>
    <col min="9259" max="9259" width="9.85546875" customWidth="1"/>
    <col min="9260" max="9260" width="10.5703125" customWidth="1"/>
    <col min="9261" max="9261" width="18.42578125" bestFit="1" customWidth="1"/>
    <col min="9262" max="9263" width="6.5703125" customWidth="1"/>
    <col min="9264" max="9264" width="10.28515625" bestFit="1" customWidth="1"/>
    <col min="9265" max="9265" width="19.28515625" bestFit="1" customWidth="1"/>
    <col min="9266" max="9266" width="10.28515625" bestFit="1" customWidth="1"/>
    <col min="9267" max="9267" width="17.7109375" bestFit="1" customWidth="1"/>
    <col min="9268" max="9268" width="10.5703125" customWidth="1"/>
    <col min="9269" max="9269" width="18.140625" customWidth="1"/>
    <col min="9499" max="9499" width="37" bestFit="1" customWidth="1"/>
    <col min="9500" max="9500" width="8.85546875" customWidth="1"/>
    <col min="9501" max="9501" width="14.140625" customWidth="1"/>
    <col min="9502" max="9502" width="8" customWidth="1"/>
    <col min="9503" max="9503" width="17.7109375" bestFit="1" customWidth="1"/>
    <col min="9504" max="9504" width="10.28515625" bestFit="1" customWidth="1"/>
    <col min="9505" max="9505" width="18.140625" bestFit="1" customWidth="1"/>
    <col min="9506" max="9506" width="9.5703125" customWidth="1"/>
    <col min="9507" max="9507" width="16.5703125" bestFit="1" customWidth="1"/>
    <col min="9508" max="9508" width="8.85546875" customWidth="1"/>
    <col min="9509" max="9509" width="16.5703125" bestFit="1" customWidth="1"/>
    <col min="9510" max="9510" width="7" customWidth="1"/>
    <col min="9511" max="9511" width="16.5703125" bestFit="1" customWidth="1"/>
    <col min="9512" max="9512" width="8.85546875" customWidth="1"/>
    <col min="9513" max="9513" width="16.5703125" bestFit="1" customWidth="1"/>
    <col min="9514" max="9514" width="8.140625" customWidth="1"/>
    <col min="9515" max="9515" width="9.85546875" customWidth="1"/>
    <col min="9516" max="9516" width="10.5703125" customWidth="1"/>
    <col min="9517" max="9517" width="18.42578125" bestFit="1" customWidth="1"/>
    <col min="9518" max="9519" width="6.5703125" customWidth="1"/>
    <col min="9520" max="9520" width="10.28515625" bestFit="1" customWidth="1"/>
    <col min="9521" max="9521" width="19.28515625" bestFit="1" customWidth="1"/>
    <col min="9522" max="9522" width="10.28515625" bestFit="1" customWidth="1"/>
    <col min="9523" max="9523" width="17.7109375" bestFit="1" customWidth="1"/>
    <col min="9524" max="9524" width="10.5703125" customWidth="1"/>
    <col min="9525" max="9525" width="18.140625" customWidth="1"/>
    <col min="9755" max="9755" width="37" bestFit="1" customWidth="1"/>
    <col min="9756" max="9756" width="8.85546875" customWidth="1"/>
    <col min="9757" max="9757" width="14.140625" customWidth="1"/>
    <col min="9758" max="9758" width="8" customWidth="1"/>
    <col min="9759" max="9759" width="17.7109375" bestFit="1" customWidth="1"/>
    <col min="9760" max="9760" width="10.28515625" bestFit="1" customWidth="1"/>
    <col min="9761" max="9761" width="18.140625" bestFit="1" customWidth="1"/>
    <col min="9762" max="9762" width="9.5703125" customWidth="1"/>
    <col min="9763" max="9763" width="16.5703125" bestFit="1" customWidth="1"/>
    <col min="9764" max="9764" width="8.85546875" customWidth="1"/>
    <col min="9765" max="9765" width="16.5703125" bestFit="1" customWidth="1"/>
    <col min="9766" max="9766" width="7" customWidth="1"/>
    <col min="9767" max="9767" width="16.5703125" bestFit="1" customWidth="1"/>
    <col min="9768" max="9768" width="8.85546875" customWidth="1"/>
    <col min="9769" max="9769" width="16.5703125" bestFit="1" customWidth="1"/>
    <col min="9770" max="9770" width="8.140625" customWidth="1"/>
    <col min="9771" max="9771" width="9.85546875" customWidth="1"/>
    <col min="9772" max="9772" width="10.5703125" customWidth="1"/>
    <col min="9773" max="9773" width="18.42578125" bestFit="1" customWidth="1"/>
    <col min="9774" max="9775" width="6.5703125" customWidth="1"/>
    <col min="9776" max="9776" width="10.28515625" bestFit="1" customWidth="1"/>
    <col min="9777" max="9777" width="19.28515625" bestFit="1" customWidth="1"/>
    <col min="9778" max="9778" width="10.28515625" bestFit="1" customWidth="1"/>
    <col min="9779" max="9779" width="17.7109375" bestFit="1" customWidth="1"/>
    <col min="9780" max="9780" width="10.5703125" customWidth="1"/>
    <col min="9781" max="9781" width="18.140625" customWidth="1"/>
    <col min="10011" max="10011" width="37" bestFit="1" customWidth="1"/>
    <col min="10012" max="10012" width="8.85546875" customWidth="1"/>
    <col min="10013" max="10013" width="14.140625" customWidth="1"/>
    <col min="10014" max="10014" width="8" customWidth="1"/>
    <col min="10015" max="10015" width="17.7109375" bestFit="1" customWidth="1"/>
    <col min="10016" max="10016" width="10.28515625" bestFit="1" customWidth="1"/>
    <col min="10017" max="10017" width="18.140625" bestFit="1" customWidth="1"/>
    <col min="10018" max="10018" width="9.5703125" customWidth="1"/>
    <col min="10019" max="10019" width="16.5703125" bestFit="1" customWidth="1"/>
    <col min="10020" max="10020" width="8.85546875" customWidth="1"/>
    <col min="10021" max="10021" width="16.5703125" bestFit="1" customWidth="1"/>
    <col min="10022" max="10022" width="7" customWidth="1"/>
    <col min="10023" max="10023" width="16.5703125" bestFit="1" customWidth="1"/>
    <col min="10024" max="10024" width="8.85546875" customWidth="1"/>
    <col min="10025" max="10025" width="16.5703125" bestFit="1" customWidth="1"/>
    <col min="10026" max="10026" width="8.140625" customWidth="1"/>
    <col min="10027" max="10027" width="9.85546875" customWidth="1"/>
    <col min="10028" max="10028" width="10.5703125" customWidth="1"/>
    <col min="10029" max="10029" width="18.42578125" bestFit="1" customWidth="1"/>
    <col min="10030" max="10031" width="6.5703125" customWidth="1"/>
    <col min="10032" max="10032" width="10.28515625" bestFit="1" customWidth="1"/>
    <col min="10033" max="10033" width="19.28515625" bestFit="1" customWidth="1"/>
    <col min="10034" max="10034" width="10.28515625" bestFit="1" customWidth="1"/>
    <col min="10035" max="10035" width="17.7109375" bestFit="1" customWidth="1"/>
    <col min="10036" max="10036" width="10.5703125" customWidth="1"/>
    <col min="10037" max="10037" width="18.140625" customWidth="1"/>
    <col min="10267" max="10267" width="37" bestFit="1" customWidth="1"/>
    <col min="10268" max="10268" width="8.85546875" customWidth="1"/>
    <col min="10269" max="10269" width="14.140625" customWidth="1"/>
    <col min="10270" max="10270" width="8" customWidth="1"/>
    <col min="10271" max="10271" width="17.7109375" bestFit="1" customWidth="1"/>
    <col min="10272" max="10272" width="10.28515625" bestFit="1" customWidth="1"/>
    <col min="10273" max="10273" width="18.140625" bestFit="1" customWidth="1"/>
    <col min="10274" max="10274" width="9.5703125" customWidth="1"/>
    <col min="10275" max="10275" width="16.5703125" bestFit="1" customWidth="1"/>
    <col min="10276" max="10276" width="8.85546875" customWidth="1"/>
    <col min="10277" max="10277" width="16.5703125" bestFit="1" customWidth="1"/>
    <col min="10278" max="10278" width="7" customWidth="1"/>
    <col min="10279" max="10279" width="16.5703125" bestFit="1" customWidth="1"/>
    <col min="10280" max="10280" width="8.85546875" customWidth="1"/>
    <col min="10281" max="10281" width="16.5703125" bestFit="1" customWidth="1"/>
    <col min="10282" max="10282" width="8.140625" customWidth="1"/>
    <col min="10283" max="10283" width="9.85546875" customWidth="1"/>
    <col min="10284" max="10284" width="10.5703125" customWidth="1"/>
    <col min="10285" max="10285" width="18.42578125" bestFit="1" customWidth="1"/>
    <col min="10286" max="10287" width="6.5703125" customWidth="1"/>
    <col min="10288" max="10288" width="10.28515625" bestFit="1" customWidth="1"/>
    <col min="10289" max="10289" width="19.28515625" bestFit="1" customWidth="1"/>
    <col min="10290" max="10290" width="10.28515625" bestFit="1" customWidth="1"/>
    <col min="10291" max="10291" width="17.7109375" bestFit="1" customWidth="1"/>
    <col min="10292" max="10292" width="10.5703125" customWidth="1"/>
    <col min="10293" max="10293" width="18.140625" customWidth="1"/>
    <col min="10523" max="10523" width="37" bestFit="1" customWidth="1"/>
    <col min="10524" max="10524" width="8.85546875" customWidth="1"/>
    <col min="10525" max="10525" width="14.140625" customWidth="1"/>
    <col min="10526" max="10526" width="8" customWidth="1"/>
    <col min="10527" max="10527" width="17.7109375" bestFit="1" customWidth="1"/>
    <col min="10528" max="10528" width="10.28515625" bestFit="1" customWidth="1"/>
    <col min="10529" max="10529" width="18.140625" bestFit="1" customWidth="1"/>
    <col min="10530" max="10530" width="9.5703125" customWidth="1"/>
    <col min="10531" max="10531" width="16.5703125" bestFit="1" customWidth="1"/>
    <col min="10532" max="10532" width="8.85546875" customWidth="1"/>
    <col min="10533" max="10533" width="16.5703125" bestFit="1" customWidth="1"/>
    <col min="10534" max="10534" width="7" customWidth="1"/>
    <col min="10535" max="10535" width="16.5703125" bestFit="1" customWidth="1"/>
    <col min="10536" max="10536" width="8.85546875" customWidth="1"/>
    <col min="10537" max="10537" width="16.5703125" bestFit="1" customWidth="1"/>
    <col min="10538" max="10538" width="8.140625" customWidth="1"/>
    <col min="10539" max="10539" width="9.85546875" customWidth="1"/>
    <col min="10540" max="10540" width="10.5703125" customWidth="1"/>
    <col min="10541" max="10541" width="18.42578125" bestFit="1" customWidth="1"/>
    <col min="10542" max="10543" width="6.5703125" customWidth="1"/>
    <col min="10544" max="10544" width="10.28515625" bestFit="1" customWidth="1"/>
    <col min="10545" max="10545" width="19.28515625" bestFit="1" customWidth="1"/>
    <col min="10546" max="10546" width="10.28515625" bestFit="1" customWidth="1"/>
    <col min="10547" max="10547" width="17.7109375" bestFit="1" customWidth="1"/>
    <col min="10548" max="10548" width="10.5703125" customWidth="1"/>
    <col min="10549" max="10549" width="18.140625" customWidth="1"/>
    <col min="10779" max="10779" width="37" bestFit="1" customWidth="1"/>
    <col min="10780" max="10780" width="8.85546875" customWidth="1"/>
    <col min="10781" max="10781" width="14.140625" customWidth="1"/>
    <col min="10782" max="10782" width="8" customWidth="1"/>
    <col min="10783" max="10783" width="17.7109375" bestFit="1" customWidth="1"/>
    <col min="10784" max="10784" width="10.28515625" bestFit="1" customWidth="1"/>
    <col min="10785" max="10785" width="18.140625" bestFit="1" customWidth="1"/>
    <col min="10786" max="10786" width="9.5703125" customWidth="1"/>
    <col min="10787" max="10787" width="16.5703125" bestFit="1" customWidth="1"/>
    <col min="10788" max="10788" width="8.85546875" customWidth="1"/>
    <col min="10789" max="10789" width="16.5703125" bestFit="1" customWidth="1"/>
    <col min="10790" max="10790" width="7" customWidth="1"/>
    <col min="10791" max="10791" width="16.5703125" bestFit="1" customWidth="1"/>
    <col min="10792" max="10792" width="8.85546875" customWidth="1"/>
    <col min="10793" max="10793" width="16.5703125" bestFit="1" customWidth="1"/>
    <col min="10794" max="10794" width="8.140625" customWidth="1"/>
    <col min="10795" max="10795" width="9.85546875" customWidth="1"/>
    <col min="10796" max="10796" width="10.5703125" customWidth="1"/>
    <col min="10797" max="10797" width="18.42578125" bestFit="1" customWidth="1"/>
    <col min="10798" max="10799" width="6.5703125" customWidth="1"/>
    <col min="10800" max="10800" width="10.28515625" bestFit="1" customWidth="1"/>
    <col min="10801" max="10801" width="19.28515625" bestFit="1" customWidth="1"/>
    <col min="10802" max="10802" width="10.28515625" bestFit="1" customWidth="1"/>
    <col min="10803" max="10803" width="17.7109375" bestFit="1" customWidth="1"/>
    <col min="10804" max="10804" width="10.5703125" customWidth="1"/>
    <col min="10805" max="10805" width="18.140625" customWidth="1"/>
    <col min="11035" max="11035" width="37" bestFit="1" customWidth="1"/>
    <col min="11036" max="11036" width="8.85546875" customWidth="1"/>
    <col min="11037" max="11037" width="14.140625" customWidth="1"/>
    <col min="11038" max="11038" width="8" customWidth="1"/>
    <col min="11039" max="11039" width="17.7109375" bestFit="1" customWidth="1"/>
    <col min="11040" max="11040" width="10.28515625" bestFit="1" customWidth="1"/>
    <col min="11041" max="11041" width="18.140625" bestFit="1" customWidth="1"/>
    <col min="11042" max="11042" width="9.5703125" customWidth="1"/>
    <col min="11043" max="11043" width="16.5703125" bestFit="1" customWidth="1"/>
    <col min="11044" max="11044" width="8.85546875" customWidth="1"/>
    <col min="11045" max="11045" width="16.5703125" bestFit="1" customWidth="1"/>
    <col min="11046" max="11046" width="7" customWidth="1"/>
    <col min="11047" max="11047" width="16.5703125" bestFit="1" customWidth="1"/>
    <col min="11048" max="11048" width="8.85546875" customWidth="1"/>
    <col min="11049" max="11049" width="16.5703125" bestFit="1" customWidth="1"/>
    <col min="11050" max="11050" width="8.140625" customWidth="1"/>
    <col min="11051" max="11051" width="9.85546875" customWidth="1"/>
    <col min="11052" max="11052" width="10.5703125" customWidth="1"/>
    <col min="11053" max="11053" width="18.42578125" bestFit="1" customWidth="1"/>
    <col min="11054" max="11055" width="6.5703125" customWidth="1"/>
    <col min="11056" max="11056" width="10.28515625" bestFit="1" customWidth="1"/>
    <col min="11057" max="11057" width="19.28515625" bestFit="1" customWidth="1"/>
    <col min="11058" max="11058" width="10.28515625" bestFit="1" customWidth="1"/>
    <col min="11059" max="11059" width="17.7109375" bestFit="1" customWidth="1"/>
    <col min="11060" max="11060" width="10.5703125" customWidth="1"/>
    <col min="11061" max="11061" width="18.140625" customWidth="1"/>
    <col min="11291" max="11291" width="37" bestFit="1" customWidth="1"/>
    <col min="11292" max="11292" width="8.85546875" customWidth="1"/>
    <col min="11293" max="11293" width="14.140625" customWidth="1"/>
    <col min="11294" max="11294" width="8" customWidth="1"/>
    <col min="11295" max="11295" width="17.7109375" bestFit="1" customWidth="1"/>
    <col min="11296" max="11296" width="10.28515625" bestFit="1" customWidth="1"/>
    <col min="11297" max="11297" width="18.140625" bestFit="1" customWidth="1"/>
    <col min="11298" max="11298" width="9.5703125" customWidth="1"/>
    <col min="11299" max="11299" width="16.5703125" bestFit="1" customWidth="1"/>
    <col min="11300" max="11300" width="8.85546875" customWidth="1"/>
    <col min="11301" max="11301" width="16.5703125" bestFit="1" customWidth="1"/>
    <col min="11302" max="11302" width="7" customWidth="1"/>
    <col min="11303" max="11303" width="16.5703125" bestFit="1" customWidth="1"/>
    <col min="11304" max="11304" width="8.85546875" customWidth="1"/>
    <col min="11305" max="11305" width="16.5703125" bestFit="1" customWidth="1"/>
    <col min="11306" max="11306" width="8.140625" customWidth="1"/>
    <col min="11307" max="11307" width="9.85546875" customWidth="1"/>
    <col min="11308" max="11308" width="10.5703125" customWidth="1"/>
    <col min="11309" max="11309" width="18.42578125" bestFit="1" customWidth="1"/>
    <col min="11310" max="11311" width="6.5703125" customWidth="1"/>
    <col min="11312" max="11312" width="10.28515625" bestFit="1" customWidth="1"/>
    <col min="11313" max="11313" width="19.28515625" bestFit="1" customWidth="1"/>
    <col min="11314" max="11314" width="10.28515625" bestFit="1" customWidth="1"/>
    <col min="11315" max="11315" width="17.7109375" bestFit="1" customWidth="1"/>
    <col min="11316" max="11316" width="10.5703125" customWidth="1"/>
    <col min="11317" max="11317" width="18.140625" customWidth="1"/>
    <col min="11547" max="11547" width="37" bestFit="1" customWidth="1"/>
    <col min="11548" max="11548" width="8.85546875" customWidth="1"/>
    <col min="11549" max="11549" width="14.140625" customWidth="1"/>
    <col min="11550" max="11550" width="8" customWidth="1"/>
    <col min="11551" max="11551" width="17.7109375" bestFit="1" customWidth="1"/>
    <col min="11552" max="11552" width="10.28515625" bestFit="1" customWidth="1"/>
    <col min="11553" max="11553" width="18.140625" bestFit="1" customWidth="1"/>
    <col min="11554" max="11554" width="9.5703125" customWidth="1"/>
    <col min="11555" max="11555" width="16.5703125" bestFit="1" customWidth="1"/>
    <col min="11556" max="11556" width="8.85546875" customWidth="1"/>
    <col min="11557" max="11557" width="16.5703125" bestFit="1" customWidth="1"/>
    <col min="11558" max="11558" width="7" customWidth="1"/>
    <col min="11559" max="11559" width="16.5703125" bestFit="1" customWidth="1"/>
    <col min="11560" max="11560" width="8.85546875" customWidth="1"/>
    <col min="11561" max="11561" width="16.5703125" bestFit="1" customWidth="1"/>
    <col min="11562" max="11562" width="8.140625" customWidth="1"/>
    <col min="11563" max="11563" width="9.85546875" customWidth="1"/>
    <col min="11564" max="11564" width="10.5703125" customWidth="1"/>
    <col min="11565" max="11565" width="18.42578125" bestFit="1" customWidth="1"/>
    <col min="11566" max="11567" width="6.5703125" customWidth="1"/>
    <col min="11568" max="11568" width="10.28515625" bestFit="1" customWidth="1"/>
    <col min="11569" max="11569" width="19.28515625" bestFit="1" customWidth="1"/>
    <col min="11570" max="11570" width="10.28515625" bestFit="1" customWidth="1"/>
    <col min="11571" max="11571" width="17.7109375" bestFit="1" customWidth="1"/>
    <col min="11572" max="11572" width="10.5703125" customWidth="1"/>
    <col min="11573" max="11573" width="18.140625" customWidth="1"/>
    <col min="11803" max="11803" width="37" bestFit="1" customWidth="1"/>
    <col min="11804" max="11804" width="8.85546875" customWidth="1"/>
    <col min="11805" max="11805" width="14.140625" customWidth="1"/>
    <col min="11806" max="11806" width="8" customWidth="1"/>
    <col min="11807" max="11807" width="17.7109375" bestFit="1" customWidth="1"/>
    <col min="11808" max="11808" width="10.28515625" bestFit="1" customWidth="1"/>
    <col min="11809" max="11809" width="18.140625" bestFit="1" customWidth="1"/>
    <col min="11810" max="11810" width="9.5703125" customWidth="1"/>
    <col min="11811" max="11811" width="16.5703125" bestFit="1" customWidth="1"/>
    <col min="11812" max="11812" width="8.85546875" customWidth="1"/>
    <col min="11813" max="11813" width="16.5703125" bestFit="1" customWidth="1"/>
    <col min="11814" max="11814" width="7" customWidth="1"/>
    <col min="11815" max="11815" width="16.5703125" bestFit="1" customWidth="1"/>
    <col min="11816" max="11816" width="8.85546875" customWidth="1"/>
    <col min="11817" max="11817" width="16.5703125" bestFit="1" customWidth="1"/>
    <col min="11818" max="11818" width="8.140625" customWidth="1"/>
    <col min="11819" max="11819" width="9.85546875" customWidth="1"/>
    <col min="11820" max="11820" width="10.5703125" customWidth="1"/>
    <col min="11821" max="11821" width="18.42578125" bestFit="1" customWidth="1"/>
    <col min="11822" max="11823" width="6.5703125" customWidth="1"/>
    <col min="11824" max="11824" width="10.28515625" bestFit="1" customWidth="1"/>
    <col min="11825" max="11825" width="19.28515625" bestFit="1" customWidth="1"/>
    <col min="11826" max="11826" width="10.28515625" bestFit="1" customWidth="1"/>
    <col min="11827" max="11827" width="17.7109375" bestFit="1" customWidth="1"/>
    <col min="11828" max="11828" width="10.5703125" customWidth="1"/>
    <col min="11829" max="11829" width="18.140625" customWidth="1"/>
    <col min="12059" max="12059" width="37" bestFit="1" customWidth="1"/>
    <col min="12060" max="12060" width="8.85546875" customWidth="1"/>
    <col min="12061" max="12061" width="14.140625" customWidth="1"/>
    <col min="12062" max="12062" width="8" customWidth="1"/>
    <col min="12063" max="12063" width="17.7109375" bestFit="1" customWidth="1"/>
    <col min="12064" max="12064" width="10.28515625" bestFit="1" customWidth="1"/>
    <col min="12065" max="12065" width="18.140625" bestFit="1" customWidth="1"/>
    <col min="12066" max="12066" width="9.5703125" customWidth="1"/>
    <col min="12067" max="12067" width="16.5703125" bestFit="1" customWidth="1"/>
    <col min="12068" max="12068" width="8.85546875" customWidth="1"/>
    <col min="12069" max="12069" width="16.5703125" bestFit="1" customWidth="1"/>
    <col min="12070" max="12070" width="7" customWidth="1"/>
    <col min="12071" max="12071" width="16.5703125" bestFit="1" customWidth="1"/>
    <col min="12072" max="12072" width="8.85546875" customWidth="1"/>
    <col min="12073" max="12073" width="16.5703125" bestFit="1" customWidth="1"/>
    <col min="12074" max="12074" width="8.140625" customWidth="1"/>
    <col min="12075" max="12075" width="9.85546875" customWidth="1"/>
    <col min="12076" max="12076" width="10.5703125" customWidth="1"/>
    <col min="12077" max="12077" width="18.42578125" bestFit="1" customWidth="1"/>
    <col min="12078" max="12079" width="6.5703125" customWidth="1"/>
    <col min="12080" max="12080" width="10.28515625" bestFit="1" customWidth="1"/>
    <col min="12081" max="12081" width="19.28515625" bestFit="1" customWidth="1"/>
    <col min="12082" max="12082" width="10.28515625" bestFit="1" customWidth="1"/>
    <col min="12083" max="12083" width="17.7109375" bestFit="1" customWidth="1"/>
    <col min="12084" max="12084" width="10.5703125" customWidth="1"/>
    <col min="12085" max="12085" width="18.140625" customWidth="1"/>
    <col min="12315" max="12315" width="37" bestFit="1" customWidth="1"/>
    <col min="12316" max="12316" width="8.85546875" customWidth="1"/>
    <col min="12317" max="12317" width="14.140625" customWidth="1"/>
    <col min="12318" max="12318" width="8" customWidth="1"/>
    <col min="12319" max="12319" width="17.7109375" bestFit="1" customWidth="1"/>
    <col min="12320" max="12320" width="10.28515625" bestFit="1" customWidth="1"/>
    <col min="12321" max="12321" width="18.140625" bestFit="1" customWidth="1"/>
    <col min="12322" max="12322" width="9.5703125" customWidth="1"/>
    <col min="12323" max="12323" width="16.5703125" bestFit="1" customWidth="1"/>
    <col min="12324" max="12324" width="8.85546875" customWidth="1"/>
    <col min="12325" max="12325" width="16.5703125" bestFit="1" customWidth="1"/>
    <col min="12326" max="12326" width="7" customWidth="1"/>
    <col min="12327" max="12327" width="16.5703125" bestFit="1" customWidth="1"/>
    <col min="12328" max="12328" width="8.85546875" customWidth="1"/>
    <col min="12329" max="12329" width="16.5703125" bestFit="1" customWidth="1"/>
    <col min="12330" max="12330" width="8.140625" customWidth="1"/>
    <col min="12331" max="12331" width="9.85546875" customWidth="1"/>
    <col min="12332" max="12332" width="10.5703125" customWidth="1"/>
    <col min="12333" max="12333" width="18.42578125" bestFit="1" customWidth="1"/>
    <col min="12334" max="12335" width="6.5703125" customWidth="1"/>
    <col min="12336" max="12336" width="10.28515625" bestFit="1" customWidth="1"/>
    <col min="12337" max="12337" width="19.28515625" bestFit="1" customWidth="1"/>
    <col min="12338" max="12338" width="10.28515625" bestFit="1" customWidth="1"/>
    <col min="12339" max="12339" width="17.7109375" bestFit="1" customWidth="1"/>
    <col min="12340" max="12340" width="10.5703125" customWidth="1"/>
    <col min="12341" max="12341" width="18.140625" customWidth="1"/>
    <col min="12571" max="12571" width="37" bestFit="1" customWidth="1"/>
    <col min="12572" max="12572" width="8.85546875" customWidth="1"/>
    <col min="12573" max="12573" width="14.140625" customWidth="1"/>
    <col min="12574" max="12574" width="8" customWidth="1"/>
    <col min="12575" max="12575" width="17.7109375" bestFit="1" customWidth="1"/>
    <col min="12576" max="12576" width="10.28515625" bestFit="1" customWidth="1"/>
    <col min="12577" max="12577" width="18.140625" bestFit="1" customWidth="1"/>
    <col min="12578" max="12578" width="9.5703125" customWidth="1"/>
    <col min="12579" max="12579" width="16.5703125" bestFit="1" customWidth="1"/>
    <col min="12580" max="12580" width="8.85546875" customWidth="1"/>
    <col min="12581" max="12581" width="16.5703125" bestFit="1" customWidth="1"/>
    <col min="12582" max="12582" width="7" customWidth="1"/>
    <col min="12583" max="12583" width="16.5703125" bestFit="1" customWidth="1"/>
    <col min="12584" max="12584" width="8.85546875" customWidth="1"/>
    <col min="12585" max="12585" width="16.5703125" bestFit="1" customWidth="1"/>
    <col min="12586" max="12586" width="8.140625" customWidth="1"/>
    <col min="12587" max="12587" width="9.85546875" customWidth="1"/>
    <col min="12588" max="12588" width="10.5703125" customWidth="1"/>
    <col min="12589" max="12589" width="18.42578125" bestFit="1" customWidth="1"/>
    <col min="12590" max="12591" width="6.5703125" customWidth="1"/>
    <col min="12592" max="12592" width="10.28515625" bestFit="1" customWidth="1"/>
    <col min="12593" max="12593" width="19.28515625" bestFit="1" customWidth="1"/>
    <col min="12594" max="12594" width="10.28515625" bestFit="1" customWidth="1"/>
    <col min="12595" max="12595" width="17.7109375" bestFit="1" customWidth="1"/>
    <col min="12596" max="12596" width="10.5703125" customWidth="1"/>
    <col min="12597" max="12597" width="18.140625" customWidth="1"/>
    <col min="12827" max="12827" width="37" bestFit="1" customWidth="1"/>
    <col min="12828" max="12828" width="8.85546875" customWidth="1"/>
    <col min="12829" max="12829" width="14.140625" customWidth="1"/>
    <col min="12830" max="12830" width="8" customWidth="1"/>
    <col min="12831" max="12831" width="17.7109375" bestFit="1" customWidth="1"/>
    <col min="12832" max="12832" width="10.28515625" bestFit="1" customWidth="1"/>
    <col min="12833" max="12833" width="18.140625" bestFit="1" customWidth="1"/>
    <col min="12834" max="12834" width="9.5703125" customWidth="1"/>
    <col min="12835" max="12835" width="16.5703125" bestFit="1" customWidth="1"/>
    <col min="12836" max="12836" width="8.85546875" customWidth="1"/>
    <col min="12837" max="12837" width="16.5703125" bestFit="1" customWidth="1"/>
    <col min="12838" max="12838" width="7" customWidth="1"/>
    <col min="12839" max="12839" width="16.5703125" bestFit="1" customWidth="1"/>
    <col min="12840" max="12840" width="8.85546875" customWidth="1"/>
    <col min="12841" max="12841" width="16.5703125" bestFit="1" customWidth="1"/>
    <col min="12842" max="12842" width="8.140625" customWidth="1"/>
    <col min="12843" max="12843" width="9.85546875" customWidth="1"/>
    <col min="12844" max="12844" width="10.5703125" customWidth="1"/>
    <col min="12845" max="12845" width="18.42578125" bestFit="1" customWidth="1"/>
    <col min="12846" max="12847" width="6.5703125" customWidth="1"/>
    <col min="12848" max="12848" width="10.28515625" bestFit="1" customWidth="1"/>
    <col min="12849" max="12849" width="19.28515625" bestFit="1" customWidth="1"/>
    <col min="12850" max="12850" width="10.28515625" bestFit="1" customWidth="1"/>
    <col min="12851" max="12851" width="17.7109375" bestFit="1" customWidth="1"/>
    <col min="12852" max="12852" width="10.5703125" customWidth="1"/>
    <col min="12853" max="12853" width="18.140625" customWidth="1"/>
    <col min="13083" max="13083" width="37" bestFit="1" customWidth="1"/>
    <col min="13084" max="13084" width="8.85546875" customWidth="1"/>
    <col min="13085" max="13085" width="14.140625" customWidth="1"/>
    <col min="13086" max="13086" width="8" customWidth="1"/>
    <col min="13087" max="13087" width="17.7109375" bestFit="1" customWidth="1"/>
    <col min="13088" max="13088" width="10.28515625" bestFit="1" customWidth="1"/>
    <col min="13089" max="13089" width="18.140625" bestFit="1" customWidth="1"/>
    <col min="13090" max="13090" width="9.5703125" customWidth="1"/>
    <col min="13091" max="13091" width="16.5703125" bestFit="1" customWidth="1"/>
    <col min="13092" max="13092" width="8.85546875" customWidth="1"/>
    <col min="13093" max="13093" width="16.5703125" bestFit="1" customWidth="1"/>
    <col min="13094" max="13094" width="7" customWidth="1"/>
    <col min="13095" max="13095" width="16.5703125" bestFit="1" customWidth="1"/>
    <col min="13096" max="13096" width="8.85546875" customWidth="1"/>
    <col min="13097" max="13097" width="16.5703125" bestFit="1" customWidth="1"/>
    <col min="13098" max="13098" width="8.140625" customWidth="1"/>
    <col min="13099" max="13099" width="9.85546875" customWidth="1"/>
    <col min="13100" max="13100" width="10.5703125" customWidth="1"/>
    <col min="13101" max="13101" width="18.42578125" bestFit="1" customWidth="1"/>
    <col min="13102" max="13103" width="6.5703125" customWidth="1"/>
    <col min="13104" max="13104" width="10.28515625" bestFit="1" customWidth="1"/>
    <col min="13105" max="13105" width="19.28515625" bestFit="1" customWidth="1"/>
    <col min="13106" max="13106" width="10.28515625" bestFit="1" customWidth="1"/>
    <col min="13107" max="13107" width="17.7109375" bestFit="1" customWidth="1"/>
    <col min="13108" max="13108" width="10.5703125" customWidth="1"/>
    <col min="13109" max="13109" width="18.140625" customWidth="1"/>
    <col min="13339" max="13339" width="37" bestFit="1" customWidth="1"/>
    <col min="13340" max="13340" width="8.85546875" customWidth="1"/>
    <col min="13341" max="13341" width="14.140625" customWidth="1"/>
    <col min="13342" max="13342" width="8" customWidth="1"/>
    <col min="13343" max="13343" width="17.7109375" bestFit="1" customWidth="1"/>
    <col min="13344" max="13344" width="10.28515625" bestFit="1" customWidth="1"/>
    <col min="13345" max="13345" width="18.140625" bestFit="1" customWidth="1"/>
    <col min="13346" max="13346" width="9.5703125" customWidth="1"/>
    <col min="13347" max="13347" width="16.5703125" bestFit="1" customWidth="1"/>
    <col min="13348" max="13348" width="8.85546875" customWidth="1"/>
    <col min="13349" max="13349" width="16.5703125" bestFit="1" customWidth="1"/>
    <col min="13350" max="13350" width="7" customWidth="1"/>
    <col min="13351" max="13351" width="16.5703125" bestFit="1" customWidth="1"/>
    <col min="13352" max="13352" width="8.85546875" customWidth="1"/>
    <col min="13353" max="13353" width="16.5703125" bestFit="1" customWidth="1"/>
    <col min="13354" max="13354" width="8.140625" customWidth="1"/>
    <col min="13355" max="13355" width="9.85546875" customWidth="1"/>
    <col min="13356" max="13356" width="10.5703125" customWidth="1"/>
    <col min="13357" max="13357" width="18.42578125" bestFit="1" customWidth="1"/>
    <col min="13358" max="13359" width="6.5703125" customWidth="1"/>
    <col min="13360" max="13360" width="10.28515625" bestFit="1" customWidth="1"/>
    <col min="13361" max="13361" width="19.28515625" bestFit="1" customWidth="1"/>
    <col min="13362" max="13362" width="10.28515625" bestFit="1" customWidth="1"/>
    <col min="13363" max="13363" width="17.7109375" bestFit="1" customWidth="1"/>
    <col min="13364" max="13364" width="10.5703125" customWidth="1"/>
    <col min="13365" max="13365" width="18.140625" customWidth="1"/>
    <col min="13595" max="13595" width="37" bestFit="1" customWidth="1"/>
    <col min="13596" max="13596" width="8.85546875" customWidth="1"/>
    <col min="13597" max="13597" width="14.140625" customWidth="1"/>
    <col min="13598" max="13598" width="8" customWidth="1"/>
    <col min="13599" max="13599" width="17.7109375" bestFit="1" customWidth="1"/>
    <col min="13600" max="13600" width="10.28515625" bestFit="1" customWidth="1"/>
    <col min="13601" max="13601" width="18.140625" bestFit="1" customWidth="1"/>
    <col min="13602" max="13602" width="9.5703125" customWidth="1"/>
    <col min="13603" max="13603" width="16.5703125" bestFit="1" customWidth="1"/>
    <col min="13604" max="13604" width="8.85546875" customWidth="1"/>
    <col min="13605" max="13605" width="16.5703125" bestFit="1" customWidth="1"/>
    <col min="13606" max="13606" width="7" customWidth="1"/>
    <col min="13607" max="13607" width="16.5703125" bestFit="1" customWidth="1"/>
    <col min="13608" max="13608" width="8.85546875" customWidth="1"/>
    <col min="13609" max="13609" width="16.5703125" bestFit="1" customWidth="1"/>
    <col min="13610" max="13610" width="8.140625" customWidth="1"/>
    <col min="13611" max="13611" width="9.85546875" customWidth="1"/>
    <col min="13612" max="13612" width="10.5703125" customWidth="1"/>
    <col min="13613" max="13613" width="18.42578125" bestFit="1" customWidth="1"/>
    <col min="13614" max="13615" width="6.5703125" customWidth="1"/>
    <col min="13616" max="13616" width="10.28515625" bestFit="1" customWidth="1"/>
    <col min="13617" max="13617" width="19.28515625" bestFit="1" customWidth="1"/>
    <col min="13618" max="13618" width="10.28515625" bestFit="1" customWidth="1"/>
    <col min="13619" max="13619" width="17.7109375" bestFit="1" customWidth="1"/>
    <col min="13620" max="13620" width="10.5703125" customWidth="1"/>
    <col min="13621" max="13621" width="18.140625" customWidth="1"/>
    <col min="13851" max="13851" width="37" bestFit="1" customWidth="1"/>
    <col min="13852" max="13852" width="8.85546875" customWidth="1"/>
    <col min="13853" max="13853" width="14.140625" customWidth="1"/>
    <col min="13854" max="13854" width="8" customWidth="1"/>
    <col min="13855" max="13855" width="17.7109375" bestFit="1" customWidth="1"/>
    <col min="13856" max="13856" width="10.28515625" bestFit="1" customWidth="1"/>
    <col min="13857" max="13857" width="18.140625" bestFit="1" customWidth="1"/>
    <col min="13858" max="13858" width="9.5703125" customWidth="1"/>
    <col min="13859" max="13859" width="16.5703125" bestFit="1" customWidth="1"/>
    <col min="13860" max="13860" width="8.85546875" customWidth="1"/>
    <col min="13861" max="13861" width="16.5703125" bestFit="1" customWidth="1"/>
    <col min="13862" max="13862" width="7" customWidth="1"/>
    <col min="13863" max="13863" width="16.5703125" bestFit="1" customWidth="1"/>
    <col min="13864" max="13864" width="8.85546875" customWidth="1"/>
    <col min="13865" max="13865" width="16.5703125" bestFit="1" customWidth="1"/>
    <col min="13866" max="13866" width="8.140625" customWidth="1"/>
    <col min="13867" max="13867" width="9.85546875" customWidth="1"/>
    <col min="13868" max="13868" width="10.5703125" customWidth="1"/>
    <col min="13869" max="13869" width="18.42578125" bestFit="1" customWidth="1"/>
    <col min="13870" max="13871" width="6.5703125" customWidth="1"/>
    <col min="13872" max="13872" width="10.28515625" bestFit="1" customWidth="1"/>
    <col min="13873" max="13873" width="19.28515625" bestFit="1" customWidth="1"/>
    <col min="13874" max="13874" width="10.28515625" bestFit="1" customWidth="1"/>
    <col min="13875" max="13875" width="17.7109375" bestFit="1" customWidth="1"/>
    <col min="13876" max="13876" width="10.5703125" customWidth="1"/>
    <col min="13877" max="13877" width="18.140625" customWidth="1"/>
    <col min="14107" max="14107" width="37" bestFit="1" customWidth="1"/>
    <col min="14108" max="14108" width="8.85546875" customWidth="1"/>
    <col min="14109" max="14109" width="14.140625" customWidth="1"/>
    <col min="14110" max="14110" width="8" customWidth="1"/>
    <col min="14111" max="14111" width="17.7109375" bestFit="1" customWidth="1"/>
    <col min="14112" max="14112" width="10.28515625" bestFit="1" customWidth="1"/>
    <col min="14113" max="14113" width="18.140625" bestFit="1" customWidth="1"/>
    <col min="14114" max="14114" width="9.5703125" customWidth="1"/>
    <col min="14115" max="14115" width="16.5703125" bestFit="1" customWidth="1"/>
    <col min="14116" max="14116" width="8.85546875" customWidth="1"/>
    <col min="14117" max="14117" width="16.5703125" bestFit="1" customWidth="1"/>
    <col min="14118" max="14118" width="7" customWidth="1"/>
    <col min="14119" max="14119" width="16.5703125" bestFit="1" customWidth="1"/>
    <col min="14120" max="14120" width="8.85546875" customWidth="1"/>
    <col min="14121" max="14121" width="16.5703125" bestFit="1" customWidth="1"/>
    <col min="14122" max="14122" width="8.140625" customWidth="1"/>
    <col min="14123" max="14123" width="9.85546875" customWidth="1"/>
    <col min="14124" max="14124" width="10.5703125" customWidth="1"/>
    <col min="14125" max="14125" width="18.42578125" bestFit="1" customWidth="1"/>
    <col min="14126" max="14127" width="6.5703125" customWidth="1"/>
    <col min="14128" max="14128" width="10.28515625" bestFit="1" customWidth="1"/>
    <col min="14129" max="14129" width="19.28515625" bestFit="1" customWidth="1"/>
    <col min="14130" max="14130" width="10.28515625" bestFit="1" customWidth="1"/>
    <col min="14131" max="14131" width="17.7109375" bestFit="1" customWidth="1"/>
    <col min="14132" max="14132" width="10.5703125" customWidth="1"/>
    <col min="14133" max="14133" width="18.140625" customWidth="1"/>
    <col min="14363" max="14363" width="37" bestFit="1" customWidth="1"/>
    <col min="14364" max="14364" width="8.85546875" customWidth="1"/>
    <col min="14365" max="14365" width="14.140625" customWidth="1"/>
    <col min="14366" max="14366" width="8" customWidth="1"/>
    <col min="14367" max="14367" width="17.7109375" bestFit="1" customWidth="1"/>
    <col min="14368" max="14368" width="10.28515625" bestFit="1" customWidth="1"/>
    <col min="14369" max="14369" width="18.140625" bestFit="1" customWidth="1"/>
    <col min="14370" max="14370" width="9.5703125" customWidth="1"/>
    <col min="14371" max="14371" width="16.5703125" bestFit="1" customWidth="1"/>
    <col min="14372" max="14372" width="8.85546875" customWidth="1"/>
    <col min="14373" max="14373" width="16.5703125" bestFit="1" customWidth="1"/>
    <col min="14374" max="14374" width="7" customWidth="1"/>
    <col min="14375" max="14375" width="16.5703125" bestFit="1" customWidth="1"/>
    <col min="14376" max="14376" width="8.85546875" customWidth="1"/>
    <col min="14377" max="14377" width="16.5703125" bestFit="1" customWidth="1"/>
    <col min="14378" max="14378" width="8.140625" customWidth="1"/>
    <col min="14379" max="14379" width="9.85546875" customWidth="1"/>
    <col min="14380" max="14380" width="10.5703125" customWidth="1"/>
    <col min="14381" max="14381" width="18.42578125" bestFit="1" customWidth="1"/>
    <col min="14382" max="14383" width="6.5703125" customWidth="1"/>
    <col min="14384" max="14384" width="10.28515625" bestFit="1" customWidth="1"/>
    <col min="14385" max="14385" width="19.28515625" bestFit="1" customWidth="1"/>
    <col min="14386" max="14386" width="10.28515625" bestFit="1" customWidth="1"/>
    <col min="14387" max="14387" width="17.7109375" bestFit="1" customWidth="1"/>
    <col min="14388" max="14388" width="10.5703125" customWidth="1"/>
    <col min="14389" max="14389" width="18.140625" customWidth="1"/>
    <col min="14619" max="14619" width="37" bestFit="1" customWidth="1"/>
    <col min="14620" max="14620" width="8.85546875" customWidth="1"/>
    <col min="14621" max="14621" width="14.140625" customWidth="1"/>
    <col min="14622" max="14622" width="8" customWidth="1"/>
    <col min="14623" max="14623" width="17.7109375" bestFit="1" customWidth="1"/>
    <col min="14624" max="14624" width="10.28515625" bestFit="1" customWidth="1"/>
    <col min="14625" max="14625" width="18.140625" bestFit="1" customWidth="1"/>
    <col min="14626" max="14626" width="9.5703125" customWidth="1"/>
    <col min="14627" max="14627" width="16.5703125" bestFit="1" customWidth="1"/>
    <col min="14628" max="14628" width="8.85546875" customWidth="1"/>
    <col min="14629" max="14629" width="16.5703125" bestFit="1" customWidth="1"/>
    <col min="14630" max="14630" width="7" customWidth="1"/>
    <col min="14631" max="14631" width="16.5703125" bestFit="1" customWidth="1"/>
    <col min="14632" max="14632" width="8.85546875" customWidth="1"/>
    <col min="14633" max="14633" width="16.5703125" bestFit="1" customWidth="1"/>
    <col min="14634" max="14634" width="8.140625" customWidth="1"/>
    <col min="14635" max="14635" width="9.85546875" customWidth="1"/>
    <col min="14636" max="14636" width="10.5703125" customWidth="1"/>
    <col min="14637" max="14637" width="18.42578125" bestFit="1" customWidth="1"/>
    <col min="14638" max="14639" width="6.5703125" customWidth="1"/>
    <col min="14640" max="14640" width="10.28515625" bestFit="1" customWidth="1"/>
    <col min="14641" max="14641" width="19.28515625" bestFit="1" customWidth="1"/>
    <col min="14642" max="14642" width="10.28515625" bestFit="1" customWidth="1"/>
    <col min="14643" max="14643" width="17.7109375" bestFit="1" customWidth="1"/>
    <col min="14644" max="14644" width="10.5703125" customWidth="1"/>
    <col min="14645" max="14645" width="18.140625" customWidth="1"/>
    <col min="14875" max="14875" width="37" bestFit="1" customWidth="1"/>
    <col min="14876" max="14876" width="8.85546875" customWidth="1"/>
    <col min="14877" max="14877" width="14.140625" customWidth="1"/>
    <col min="14878" max="14878" width="8" customWidth="1"/>
    <col min="14879" max="14879" width="17.7109375" bestFit="1" customWidth="1"/>
    <col min="14880" max="14880" width="10.28515625" bestFit="1" customWidth="1"/>
    <col min="14881" max="14881" width="18.140625" bestFit="1" customWidth="1"/>
    <col min="14882" max="14882" width="9.5703125" customWidth="1"/>
    <col min="14883" max="14883" width="16.5703125" bestFit="1" customWidth="1"/>
    <col min="14884" max="14884" width="8.85546875" customWidth="1"/>
    <col min="14885" max="14885" width="16.5703125" bestFit="1" customWidth="1"/>
    <col min="14886" max="14886" width="7" customWidth="1"/>
    <col min="14887" max="14887" width="16.5703125" bestFit="1" customWidth="1"/>
    <col min="14888" max="14888" width="8.85546875" customWidth="1"/>
    <col min="14889" max="14889" width="16.5703125" bestFit="1" customWidth="1"/>
    <col min="14890" max="14890" width="8.140625" customWidth="1"/>
    <col min="14891" max="14891" width="9.85546875" customWidth="1"/>
    <col min="14892" max="14892" width="10.5703125" customWidth="1"/>
    <col min="14893" max="14893" width="18.42578125" bestFit="1" customWidth="1"/>
    <col min="14894" max="14895" width="6.5703125" customWidth="1"/>
    <col min="14896" max="14896" width="10.28515625" bestFit="1" customWidth="1"/>
    <col min="14897" max="14897" width="19.28515625" bestFit="1" customWidth="1"/>
    <col min="14898" max="14898" width="10.28515625" bestFit="1" customWidth="1"/>
    <col min="14899" max="14899" width="17.7109375" bestFit="1" customWidth="1"/>
    <col min="14900" max="14900" width="10.5703125" customWidth="1"/>
    <col min="14901" max="14901" width="18.140625" customWidth="1"/>
    <col min="15131" max="15131" width="37" bestFit="1" customWidth="1"/>
    <col min="15132" max="15132" width="8.85546875" customWidth="1"/>
    <col min="15133" max="15133" width="14.140625" customWidth="1"/>
    <col min="15134" max="15134" width="8" customWidth="1"/>
    <col min="15135" max="15135" width="17.7109375" bestFit="1" customWidth="1"/>
    <col min="15136" max="15136" width="10.28515625" bestFit="1" customWidth="1"/>
    <col min="15137" max="15137" width="18.140625" bestFit="1" customWidth="1"/>
    <col min="15138" max="15138" width="9.5703125" customWidth="1"/>
    <col min="15139" max="15139" width="16.5703125" bestFit="1" customWidth="1"/>
    <col min="15140" max="15140" width="8.85546875" customWidth="1"/>
    <col min="15141" max="15141" width="16.5703125" bestFit="1" customWidth="1"/>
    <col min="15142" max="15142" width="7" customWidth="1"/>
    <col min="15143" max="15143" width="16.5703125" bestFit="1" customWidth="1"/>
    <col min="15144" max="15144" width="8.85546875" customWidth="1"/>
    <col min="15145" max="15145" width="16.5703125" bestFit="1" customWidth="1"/>
    <col min="15146" max="15146" width="8.140625" customWidth="1"/>
    <col min="15147" max="15147" width="9.85546875" customWidth="1"/>
    <col min="15148" max="15148" width="10.5703125" customWidth="1"/>
    <col min="15149" max="15149" width="18.42578125" bestFit="1" customWidth="1"/>
    <col min="15150" max="15151" width="6.5703125" customWidth="1"/>
    <col min="15152" max="15152" width="10.28515625" bestFit="1" customWidth="1"/>
    <col min="15153" max="15153" width="19.28515625" bestFit="1" customWidth="1"/>
    <col min="15154" max="15154" width="10.28515625" bestFit="1" customWidth="1"/>
    <col min="15155" max="15155" width="17.7109375" bestFit="1" customWidth="1"/>
    <col min="15156" max="15156" width="10.5703125" customWidth="1"/>
    <col min="15157" max="15157" width="18.140625" customWidth="1"/>
    <col min="15387" max="15387" width="37" bestFit="1" customWidth="1"/>
    <col min="15388" max="15388" width="8.85546875" customWidth="1"/>
    <col min="15389" max="15389" width="14.140625" customWidth="1"/>
    <col min="15390" max="15390" width="8" customWidth="1"/>
    <col min="15391" max="15391" width="17.7109375" bestFit="1" customWidth="1"/>
    <col min="15392" max="15392" width="10.28515625" bestFit="1" customWidth="1"/>
    <col min="15393" max="15393" width="18.140625" bestFit="1" customWidth="1"/>
    <col min="15394" max="15394" width="9.5703125" customWidth="1"/>
    <col min="15395" max="15395" width="16.5703125" bestFit="1" customWidth="1"/>
    <col min="15396" max="15396" width="8.85546875" customWidth="1"/>
    <col min="15397" max="15397" width="16.5703125" bestFit="1" customWidth="1"/>
    <col min="15398" max="15398" width="7" customWidth="1"/>
    <col min="15399" max="15399" width="16.5703125" bestFit="1" customWidth="1"/>
    <col min="15400" max="15400" width="8.85546875" customWidth="1"/>
    <col min="15401" max="15401" width="16.5703125" bestFit="1" customWidth="1"/>
    <col min="15402" max="15402" width="8.140625" customWidth="1"/>
    <col min="15403" max="15403" width="9.85546875" customWidth="1"/>
    <col min="15404" max="15404" width="10.5703125" customWidth="1"/>
    <col min="15405" max="15405" width="18.42578125" bestFit="1" customWidth="1"/>
    <col min="15406" max="15407" width="6.5703125" customWidth="1"/>
    <col min="15408" max="15408" width="10.28515625" bestFit="1" customWidth="1"/>
    <col min="15409" max="15409" width="19.28515625" bestFit="1" customWidth="1"/>
    <col min="15410" max="15410" width="10.28515625" bestFit="1" customWidth="1"/>
    <col min="15411" max="15411" width="17.7109375" bestFit="1" customWidth="1"/>
    <col min="15412" max="15412" width="10.5703125" customWidth="1"/>
    <col min="15413" max="15413" width="18.140625" customWidth="1"/>
    <col min="15643" max="15643" width="37" bestFit="1" customWidth="1"/>
    <col min="15644" max="15644" width="8.85546875" customWidth="1"/>
    <col min="15645" max="15645" width="14.140625" customWidth="1"/>
    <col min="15646" max="15646" width="8" customWidth="1"/>
    <col min="15647" max="15647" width="17.7109375" bestFit="1" customWidth="1"/>
    <col min="15648" max="15648" width="10.28515625" bestFit="1" customWidth="1"/>
    <col min="15649" max="15649" width="18.140625" bestFit="1" customWidth="1"/>
    <col min="15650" max="15650" width="9.5703125" customWidth="1"/>
    <col min="15651" max="15651" width="16.5703125" bestFit="1" customWidth="1"/>
    <col min="15652" max="15652" width="8.85546875" customWidth="1"/>
    <col min="15653" max="15653" width="16.5703125" bestFit="1" customWidth="1"/>
    <col min="15654" max="15654" width="7" customWidth="1"/>
    <col min="15655" max="15655" width="16.5703125" bestFit="1" customWidth="1"/>
    <col min="15656" max="15656" width="8.85546875" customWidth="1"/>
    <col min="15657" max="15657" width="16.5703125" bestFit="1" customWidth="1"/>
    <col min="15658" max="15658" width="8.140625" customWidth="1"/>
    <col min="15659" max="15659" width="9.85546875" customWidth="1"/>
    <col min="15660" max="15660" width="10.5703125" customWidth="1"/>
    <col min="15661" max="15661" width="18.42578125" bestFit="1" customWidth="1"/>
    <col min="15662" max="15663" width="6.5703125" customWidth="1"/>
    <col min="15664" max="15664" width="10.28515625" bestFit="1" customWidth="1"/>
    <col min="15665" max="15665" width="19.28515625" bestFit="1" customWidth="1"/>
    <col min="15666" max="15666" width="10.28515625" bestFit="1" customWidth="1"/>
    <col min="15667" max="15667" width="17.7109375" bestFit="1" customWidth="1"/>
    <col min="15668" max="15668" width="10.5703125" customWidth="1"/>
    <col min="15669" max="15669" width="18.140625" customWidth="1"/>
    <col min="15899" max="15899" width="37" bestFit="1" customWidth="1"/>
    <col min="15900" max="15900" width="8.85546875" customWidth="1"/>
    <col min="15901" max="15901" width="14.140625" customWidth="1"/>
    <col min="15902" max="15902" width="8" customWidth="1"/>
    <col min="15903" max="15903" width="17.7109375" bestFit="1" customWidth="1"/>
    <col min="15904" max="15904" width="10.28515625" bestFit="1" customWidth="1"/>
    <col min="15905" max="15905" width="18.140625" bestFit="1" customWidth="1"/>
    <col min="15906" max="15906" width="9.5703125" customWidth="1"/>
    <col min="15907" max="15907" width="16.5703125" bestFit="1" customWidth="1"/>
    <col min="15908" max="15908" width="8.85546875" customWidth="1"/>
    <col min="15909" max="15909" width="16.5703125" bestFit="1" customWidth="1"/>
    <col min="15910" max="15910" width="7" customWidth="1"/>
    <col min="15911" max="15911" width="16.5703125" bestFit="1" customWidth="1"/>
    <col min="15912" max="15912" width="8.85546875" customWidth="1"/>
    <col min="15913" max="15913" width="16.5703125" bestFit="1" customWidth="1"/>
    <col min="15914" max="15914" width="8.140625" customWidth="1"/>
    <col min="15915" max="15915" width="9.85546875" customWidth="1"/>
    <col min="15916" max="15916" width="10.5703125" customWidth="1"/>
    <col min="15917" max="15917" width="18.42578125" bestFit="1" customWidth="1"/>
    <col min="15918" max="15919" width="6.5703125" customWidth="1"/>
    <col min="15920" max="15920" width="10.28515625" bestFit="1" customWidth="1"/>
    <col min="15921" max="15921" width="19.28515625" bestFit="1" customWidth="1"/>
    <col min="15922" max="15922" width="10.28515625" bestFit="1" customWidth="1"/>
    <col min="15923" max="15923" width="17.7109375" bestFit="1" customWidth="1"/>
    <col min="15924" max="15924" width="10.5703125" customWidth="1"/>
    <col min="15925" max="15925" width="18.140625" customWidth="1"/>
    <col min="16155" max="16155" width="37" bestFit="1" customWidth="1"/>
    <col min="16156" max="16156" width="8.85546875" customWidth="1"/>
    <col min="16157" max="16157" width="14.140625" customWidth="1"/>
    <col min="16158" max="16158" width="8" customWidth="1"/>
    <col min="16159" max="16159" width="17.7109375" bestFit="1" customWidth="1"/>
    <col min="16160" max="16160" width="10.28515625" bestFit="1" customWidth="1"/>
    <col min="16161" max="16161" width="18.140625" bestFit="1" customWidth="1"/>
    <col min="16162" max="16162" width="9.5703125" customWidth="1"/>
    <col min="16163" max="16163" width="16.5703125" bestFit="1" customWidth="1"/>
    <col min="16164" max="16164" width="8.85546875" customWidth="1"/>
    <col min="16165" max="16165" width="16.5703125" bestFit="1" customWidth="1"/>
    <col min="16166" max="16166" width="7" customWidth="1"/>
    <col min="16167" max="16167" width="16.5703125" bestFit="1" customWidth="1"/>
    <col min="16168" max="16168" width="8.85546875" customWidth="1"/>
    <col min="16169" max="16169" width="16.5703125" bestFit="1" customWidth="1"/>
    <col min="16170" max="16170" width="8.140625" customWidth="1"/>
    <col min="16171" max="16171" width="9.85546875" customWidth="1"/>
    <col min="16172" max="16172" width="10.5703125" customWidth="1"/>
    <col min="16173" max="16173" width="18.42578125" bestFit="1" customWidth="1"/>
    <col min="16174" max="16175" width="6.5703125" customWidth="1"/>
    <col min="16176" max="16176" width="10.28515625" bestFit="1" customWidth="1"/>
    <col min="16177" max="16177" width="19.28515625" bestFit="1" customWidth="1"/>
    <col min="16178" max="16178" width="10.28515625" bestFit="1" customWidth="1"/>
    <col min="16179" max="16179" width="17.7109375" bestFit="1" customWidth="1"/>
    <col min="16180" max="16180" width="10.5703125" customWidth="1"/>
    <col min="16181" max="16181" width="18.140625" customWidth="1"/>
  </cols>
  <sheetData>
    <row r="1" spans="1:53">
      <c r="B1" s="60" t="s">
        <v>0</v>
      </c>
      <c r="C1" s="60"/>
      <c r="D1" s="60"/>
      <c r="E1" s="60"/>
      <c r="F1" s="60"/>
      <c r="G1" s="61"/>
      <c r="H1" s="61"/>
      <c r="I1" s="61"/>
      <c r="J1" s="61"/>
      <c r="K1" s="6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61" t="e">
        <f>'[1]01'!L1:M1</f>
        <v>#VALUE!</v>
      </c>
      <c r="AM1" s="61"/>
      <c r="AN1" s="1"/>
      <c r="AO1" s="1"/>
      <c r="AP1" s="1"/>
      <c r="AQ1" s="1"/>
      <c r="AR1" s="2"/>
      <c r="AS1" s="2"/>
      <c r="AT1" s="2"/>
      <c r="AU1" s="2"/>
      <c r="AV1" s="2"/>
      <c r="AW1" s="2"/>
      <c r="AX1" s="2"/>
      <c r="AY1" s="2"/>
    </row>
    <row r="3" spans="1:53">
      <c r="A3" s="57" t="s">
        <v>1</v>
      </c>
      <c r="B3" s="57" t="s">
        <v>2</v>
      </c>
      <c r="C3" s="57" t="s">
        <v>3</v>
      </c>
      <c r="D3" s="63" t="s">
        <v>4</v>
      </c>
      <c r="E3" s="57">
        <f>'[1]04'!AM2:AM3</f>
        <v>0</v>
      </c>
      <c r="F3" s="58" t="s">
        <v>5</v>
      </c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7" t="s">
        <v>6</v>
      </c>
      <c r="AS3" s="57"/>
      <c r="AT3" s="58" t="s">
        <v>7</v>
      </c>
      <c r="AU3" s="58"/>
      <c r="AV3" s="58"/>
      <c r="AW3" s="58"/>
      <c r="AX3" s="57" t="s">
        <v>8</v>
      </c>
      <c r="AY3" s="57"/>
      <c r="AZ3" s="59" t="s">
        <v>4</v>
      </c>
      <c r="BA3" s="57" t="s">
        <v>9</v>
      </c>
    </row>
    <row r="4" spans="1:53">
      <c r="A4" s="57"/>
      <c r="B4" s="57"/>
      <c r="C4" s="57"/>
      <c r="D4" s="63"/>
      <c r="E4" s="57"/>
      <c r="F4" s="54"/>
      <c r="G4" s="55"/>
      <c r="H4" s="54"/>
      <c r="I4" s="55"/>
      <c r="J4" s="54"/>
      <c r="K4" s="55"/>
      <c r="L4" s="54"/>
      <c r="M4" s="55"/>
      <c r="N4" s="54"/>
      <c r="O4" s="55"/>
      <c r="P4" s="54"/>
      <c r="Q4" s="55"/>
      <c r="R4" s="54"/>
      <c r="S4" s="55"/>
      <c r="T4" s="54"/>
      <c r="U4" s="55"/>
      <c r="V4" s="54"/>
      <c r="W4" s="55"/>
      <c r="X4" s="54"/>
      <c r="Y4" s="55"/>
      <c r="Z4" s="54"/>
      <c r="AA4" s="55"/>
      <c r="AB4" s="54"/>
      <c r="AC4" s="55"/>
      <c r="AD4" s="54"/>
      <c r="AE4" s="55"/>
      <c r="AF4" s="54"/>
      <c r="AG4" s="55"/>
      <c r="AH4" s="54"/>
      <c r="AI4" s="55"/>
      <c r="AJ4" s="54"/>
      <c r="AK4" s="55"/>
      <c r="AL4" s="54"/>
      <c r="AM4" s="55"/>
      <c r="AN4" s="54"/>
      <c r="AO4" s="55"/>
      <c r="AP4" s="54"/>
      <c r="AQ4" s="55"/>
      <c r="AR4" s="57"/>
      <c r="AS4" s="57"/>
      <c r="AT4" s="57"/>
      <c r="AU4" s="57"/>
      <c r="AV4" s="57" t="s">
        <v>10</v>
      </c>
      <c r="AW4" s="57"/>
      <c r="AX4" s="57"/>
      <c r="AY4" s="57"/>
      <c r="AZ4" s="59"/>
      <c r="BA4" s="57"/>
    </row>
    <row r="5" spans="1:53" ht="30">
      <c r="A5" s="57"/>
      <c r="B5" s="57"/>
      <c r="C5" s="62"/>
      <c r="D5" s="42" t="s">
        <v>11</v>
      </c>
      <c r="E5" s="42" t="s">
        <v>12</v>
      </c>
      <c r="F5" s="42" t="s">
        <v>11</v>
      </c>
      <c r="G5" s="42" t="s">
        <v>12</v>
      </c>
      <c r="H5" s="42" t="s">
        <v>11</v>
      </c>
      <c r="I5" s="42" t="s">
        <v>12</v>
      </c>
      <c r="J5" s="3" t="s">
        <v>11</v>
      </c>
      <c r="K5" s="3" t="s">
        <v>12</v>
      </c>
      <c r="L5" s="3" t="s">
        <v>11</v>
      </c>
      <c r="M5" s="3" t="s">
        <v>12</v>
      </c>
      <c r="N5" s="3" t="s">
        <v>11</v>
      </c>
      <c r="O5" s="3" t="s">
        <v>12</v>
      </c>
      <c r="P5" s="3" t="s">
        <v>11</v>
      </c>
      <c r="Q5" s="3" t="s">
        <v>12</v>
      </c>
      <c r="R5" s="3" t="s">
        <v>11</v>
      </c>
      <c r="S5" s="3" t="s">
        <v>12</v>
      </c>
      <c r="T5" s="3" t="s">
        <v>11</v>
      </c>
      <c r="U5" s="3" t="s">
        <v>12</v>
      </c>
      <c r="V5" s="3" t="s">
        <v>11</v>
      </c>
      <c r="W5" s="3" t="s">
        <v>12</v>
      </c>
      <c r="X5" s="3" t="s">
        <v>11</v>
      </c>
      <c r="Y5" s="3" t="s">
        <v>12</v>
      </c>
      <c r="Z5" s="3" t="s">
        <v>11</v>
      </c>
      <c r="AA5" s="3" t="s">
        <v>12</v>
      </c>
      <c r="AB5" s="3" t="s">
        <v>11</v>
      </c>
      <c r="AC5" s="3" t="s">
        <v>12</v>
      </c>
      <c r="AD5" s="3" t="s">
        <v>11</v>
      </c>
      <c r="AE5" s="3" t="s">
        <v>12</v>
      </c>
      <c r="AF5" s="3" t="s">
        <v>11</v>
      </c>
      <c r="AG5" s="3" t="s">
        <v>12</v>
      </c>
      <c r="AH5" s="3" t="s">
        <v>11</v>
      </c>
      <c r="AI5" s="3" t="s">
        <v>12</v>
      </c>
      <c r="AJ5" s="3" t="s">
        <v>11</v>
      </c>
      <c r="AK5" s="3" t="s">
        <v>12</v>
      </c>
      <c r="AL5" s="3" t="s">
        <v>11</v>
      </c>
      <c r="AM5" s="3" t="s">
        <v>12</v>
      </c>
      <c r="AN5" s="3" t="s">
        <v>11</v>
      </c>
      <c r="AO5" s="3" t="s">
        <v>12</v>
      </c>
      <c r="AP5" s="3" t="s">
        <v>11</v>
      </c>
      <c r="AQ5" s="3" t="s">
        <v>12</v>
      </c>
      <c r="AR5" s="3" t="s">
        <v>11</v>
      </c>
      <c r="AS5" s="3" t="s">
        <v>12</v>
      </c>
      <c r="AT5" s="4" t="s">
        <v>11</v>
      </c>
      <c r="AU5" s="4" t="s">
        <v>12</v>
      </c>
      <c r="AV5" s="4" t="s">
        <v>11</v>
      </c>
      <c r="AW5" s="4" t="s">
        <v>12</v>
      </c>
      <c r="AX5" s="5" t="s">
        <v>11</v>
      </c>
      <c r="AY5" s="5" t="s">
        <v>12</v>
      </c>
      <c r="AZ5" s="5" t="s">
        <v>11</v>
      </c>
      <c r="BA5" s="5" t="s">
        <v>12</v>
      </c>
    </row>
    <row r="6" spans="1:53">
      <c r="A6" s="6" t="s">
        <v>13</v>
      </c>
      <c r="B6" s="7"/>
      <c r="C6" s="44"/>
      <c r="D6" s="44"/>
      <c r="E6" s="44"/>
      <c r="F6" s="44"/>
      <c r="G6" s="44"/>
      <c r="H6" s="44"/>
      <c r="I6" s="44"/>
      <c r="J6" s="4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ht="15.75" thickBot="1">
      <c r="A7" s="46"/>
      <c r="B7" s="13"/>
      <c r="C7" s="44"/>
      <c r="D7" s="44"/>
      <c r="E7" s="44"/>
      <c r="F7" s="44"/>
      <c r="G7" s="44"/>
      <c r="H7" s="44"/>
      <c r="I7" s="44"/>
      <c r="J7" s="20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10"/>
      <c r="AM7" s="10"/>
      <c r="AN7" s="10"/>
      <c r="AO7" s="10"/>
      <c r="AP7" s="10"/>
      <c r="AQ7" s="10"/>
      <c r="AR7" s="11">
        <f>F7+H7+J7+L7+N7+P7+R7+T7+V7+X7+Z7+AB7+AD7+AF7+AH7+AJ7+AL7+AN7+AP7</f>
        <v>0</v>
      </c>
      <c r="AS7" s="8">
        <f>G7+I7+K7+M7+O7+Q7+S7+U7++W7+Y7+AA7+AC7+AE7+AG7+AI7+AK7+AM7+AO7+AQ7</f>
        <v>0</v>
      </c>
      <c r="AT7" s="8"/>
      <c r="AU7" s="8"/>
      <c r="AV7" s="48">
        <f>AR7</f>
        <v>0</v>
      </c>
      <c r="AW7" s="49">
        <f>AS7</f>
        <v>0</v>
      </c>
      <c r="AX7" s="50">
        <f t="shared" ref="AX7:AY22" si="0">AV7</f>
        <v>0</v>
      </c>
      <c r="AY7" s="51">
        <f t="shared" si="0"/>
        <v>0</v>
      </c>
      <c r="AZ7" s="52">
        <f t="shared" ref="AZ7:BA22" si="1">D7+AR7-AX7</f>
        <v>0</v>
      </c>
      <c r="BA7" s="53">
        <f t="shared" si="1"/>
        <v>0</v>
      </c>
    </row>
    <row r="8" spans="1:53">
      <c r="A8" s="46"/>
      <c r="B8" s="13"/>
      <c r="C8" s="44"/>
      <c r="D8" s="44"/>
      <c r="E8" s="44"/>
      <c r="F8" s="44"/>
      <c r="G8" s="44"/>
      <c r="H8" s="44"/>
      <c r="I8" s="44"/>
      <c r="J8" s="20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10"/>
      <c r="AM8" s="10"/>
      <c r="AN8" s="10"/>
      <c r="AO8" s="10"/>
      <c r="AP8" s="10"/>
      <c r="AQ8" s="10"/>
      <c r="AR8" s="11">
        <f t="shared" ref="AR8:AR71" si="2">F8+H8+J8+L8+N8+P8+R8+T8+V8+X8+Z8+AB8+AD8+AF8+AH8+AJ8+AL8+AN8+AP8</f>
        <v>0</v>
      </c>
      <c r="AS8" s="8">
        <f t="shared" ref="AS8:AS71" si="3">G8+I8+K8+M8+O8+Q8+S8+U8++W8+Y8+AA8+AC8+AE8+AG8+AI8+AK8+AM8+AO8+AQ8</f>
        <v>0</v>
      </c>
      <c r="AT8" s="8"/>
      <c r="AU8" s="8"/>
      <c r="AV8" s="48">
        <f t="shared" ref="AV8:AW71" si="4">AR8</f>
        <v>0</v>
      </c>
      <c r="AW8" s="49">
        <f t="shared" si="4"/>
        <v>0</v>
      </c>
      <c r="AX8" s="50">
        <f t="shared" si="0"/>
        <v>0</v>
      </c>
      <c r="AY8" s="51">
        <f t="shared" si="0"/>
        <v>0</v>
      </c>
      <c r="AZ8" s="52">
        <f t="shared" si="1"/>
        <v>0</v>
      </c>
      <c r="BA8" s="53">
        <f t="shared" si="1"/>
        <v>0</v>
      </c>
    </row>
    <row r="9" spans="1:53">
      <c r="A9" s="13"/>
      <c r="B9" s="13"/>
      <c r="C9" s="44"/>
      <c r="D9" s="44"/>
      <c r="E9" s="44"/>
      <c r="F9" s="44"/>
      <c r="G9" s="44"/>
      <c r="H9" s="44"/>
      <c r="I9" s="44"/>
      <c r="J9" s="20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10"/>
      <c r="AM9" s="10"/>
      <c r="AN9" s="10"/>
      <c r="AO9" s="10"/>
      <c r="AP9" s="10"/>
      <c r="AQ9" s="10"/>
      <c r="AR9" s="11">
        <f t="shared" si="2"/>
        <v>0</v>
      </c>
      <c r="AS9" s="8">
        <f t="shared" si="3"/>
        <v>0</v>
      </c>
      <c r="AT9" s="8"/>
      <c r="AU9" s="8"/>
      <c r="AV9" s="48">
        <f t="shared" si="4"/>
        <v>0</v>
      </c>
      <c r="AW9" s="49">
        <f t="shared" si="4"/>
        <v>0</v>
      </c>
      <c r="AX9" s="50">
        <f t="shared" si="0"/>
        <v>0</v>
      </c>
      <c r="AY9" s="51">
        <f t="shared" si="0"/>
        <v>0</v>
      </c>
      <c r="AZ9" s="52">
        <f t="shared" si="1"/>
        <v>0</v>
      </c>
      <c r="BA9" s="53">
        <f t="shared" si="1"/>
        <v>0</v>
      </c>
    </row>
    <row r="10" spans="1:53">
      <c r="A10" s="13"/>
      <c r="B10" s="13"/>
      <c r="C10" s="44"/>
      <c r="D10" s="44"/>
      <c r="E10" s="44"/>
      <c r="F10" s="44"/>
      <c r="G10" s="44"/>
      <c r="H10" s="44"/>
      <c r="I10" s="44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0"/>
      <c r="AM10" s="10"/>
      <c r="AN10" s="10"/>
      <c r="AO10" s="10"/>
      <c r="AP10" s="10"/>
      <c r="AQ10" s="10"/>
      <c r="AR10" s="11">
        <f t="shared" si="2"/>
        <v>0</v>
      </c>
      <c r="AS10" s="8">
        <f t="shared" si="3"/>
        <v>0</v>
      </c>
      <c r="AT10" s="8"/>
      <c r="AU10" s="8"/>
      <c r="AV10" s="48">
        <f t="shared" si="4"/>
        <v>0</v>
      </c>
      <c r="AW10" s="49">
        <f t="shared" si="4"/>
        <v>0</v>
      </c>
      <c r="AX10" s="50">
        <f t="shared" si="0"/>
        <v>0</v>
      </c>
      <c r="AY10" s="51">
        <f t="shared" si="0"/>
        <v>0</v>
      </c>
      <c r="AZ10" s="52">
        <f t="shared" si="1"/>
        <v>0</v>
      </c>
      <c r="BA10" s="53">
        <f t="shared" si="1"/>
        <v>0</v>
      </c>
    </row>
    <row r="11" spans="1:53">
      <c r="A11" s="13"/>
      <c r="B11" s="13"/>
      <c r="C11" s="44"/>
      <c r="D11" s="44"/>
      <c r="E11" s="44"/>
      <c r="F11" s="44"/>
      <c r="G11" s="44"/>
      <c r="H11" s="44"/>
      <c r="I11" s="44"/>
      <c r="J11" s="20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10"/>
      <c r="AM11" s="10"/>
      <c r="AN11" s="10"/>
      <c r="AO11" s="10"/>
      <c r="AP11" s="10"/>
      <c r="AQ11" s="10"/>
      <c r="AR11" s="11">
        <f t="shared" si="2"/>
        <v>0</v>
      </c>
      <c r="AS11" s="8">
        <f t="shared" si="3"/>
        <v>0</v>
      </c>
      <c r="AT11" s="8"/>
      <c r="AU11" s="8"/>
      <c r="AV11" s="48">
        <f t="shared" si="4"/>
        <v>0</v>
      </c>
      <c r="AW11" s="49">
        <f t="shared" si="4"/>
        <v>0</v>
      </c>
      <c r="AX11" s="50">
        <f t="shared" si="0"/>
        <v>0</v>
      </c>
      <c r="AY11" s="51">
        <f t="shared" si="0"/>
        <v>0</v>
      </c>
      <c r="AZ11" s="52">
        <f t="shared" si="1"/>
        <v>0</v>
      </c>
      <c r="BA11" s="53">
        <f t="shared" si="1"/>
        <v>0</v>
      </c>
    </row>
    <row r="12" spans="1:53">
      <c r="A12" s="13"/>
      <c r="B12" s="47"/>
      <c r="C12" s="44"/>
      <c r="D12" s="44"/>
      <c r="E12" s="44"/>
      <c r="F12" s="44"/>
      <c r="G12" s="44"/>
      <c r="H12" s="44"/>
      <c r="I12" s="44"/>
      <c r="J12" s="20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10"/>
      <c r="AM12" s="10"/>
      <c r="AN12" s="10"/>
      <c r="AO12" s="10"/>
      <c r="AP12" s="10"/>
      <c r="AQ12" s="10"/>
      <c r="AR12" s="11">
        <f t="shared" si="2"/>
        <v>0</v>
      </c>
      <c r="AS12" s="8">
        <f t="shared" si="3"/>
        <v>0</v>
      </c>
      <c r="AT12" s="8"/>
      <c r="AU12" s="8"/>
      <c r="AV12" s="48">
        <f t="shared" si="4"/>
        <v>0</v>
      </c>
      <c r="AW12" s="49">
        <f t="shared" si="4"/>
        <v>0</v>
      </c>
      <c r="AX12" s="50">
        <f t="shared" si="0"/>
        <v>0</v>
      </c>
      <c r="AY12" s="51">
        <f t="shared" si="0"/>
        <v>0</v>
      </c>
      <c r="AZ12" s="52">
        <f t="shared" si="1"/>
        <v>0</v>
      </c>
      <c r="BA12" s="53">
        <f t="shared" si="1"/>
        <v>0</v>
      </c>
    </row>
    <row r="13" spans="1:53">
      <c r="A13" s="13"/>
      <c r="B13" s="43"/>
      <c r="C13" s="15"/>
      <c r="D13" s="5"/>
      <c r="E13" s="5"/>
      <c r="F13" s="11"/>
      <c r="G13" s="45"/>
      <c r="H13" s="5"/>
      <c r="I13" s="12"/>
      <c r="J13" s="20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10"/>
      <c r="AM13" s="10"/>
      <c r="AN13" s="10"/>
      <c r="AO13" s="10"/>
      <c r="AP13" s="10"/>
      <c r="AQ13" s="10"/>
      <c r="AR13" s="11">
        <f t="shared" si="2"/>
        <v>0</v>
      </c>
      <c r="AS13" s="8">
        <f t="shared" si="3"/>
        <v>0</v>
      </c>
      <c r="AT13" s="8"/>
      <c r="AU13" s="8"/>
      <c r="AV13" s="48">
        <f t="shared" si="4"/>
        <v>0</v>
      </c>
      <c r="AW13" s="49">
        <f t="shared" si="4"/>
        <v>0</v>
      </c>
      <c r="AX13" s="50">
        <f t="shared" si="0"/>
        <v>0</v>
      </c>
      <c r="AY13" s="51">
        <f t="shared" si="0"/>
        <v>0</v>
      </c>
      <c r="AZ13" s="52">
        <f t="shared" si="1"/>
        <v>0</v>
      </c>
      <c r="BA13" s="53">
        <f t="shared" si="1"/>
        <v>0</v>
      </c>
    </row>
    <row r="14" spans="1:53">
      <c r="A14" s="13"/>
      <c r="B14" s="14"/>
      <c r="C14" s="15"/>
      <c r="D14" s="5"/>
      <c r="E14" s="5"/>
      <c r="F14" s="11"/>
      <c r="G14" s="12"/>
      <c r="H14" s="5"/>
      <c r="I14" s="12"/>
      <c r="J14" s="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10"/>
      <c r="AM14" s="10"/>
      <c r="AN14" s="10"/>
      <c r="AO14" s="10"/>
      <c r="AP14" s="10"/>
      <c r="AQ14" s="10"/>
      <c r="AR14" s="11">
        <f t="shared" si="2"/>
        <v>0</v>
      </c>
      <c r="AS14" s="8">
        <f t="shared" si="3"/>
        <v>0</v>
      </c>
      <c r="AT14" s="8"/>
      <c r="AU14" s="8"/>
      <c r="AV14" s="48">
        <f t="shared" si="4"/>
        <v>0</v>
      </c>
      <c r="AW14" s="49">
        <f t="shared" si="4"/>
        <v>0</v>
      </c>
      <c r="AX14" s="50">
        <f t="shared" si="0"/>
        <v>0</v>
      </c>
      <c r="AY14" s="51">
        <f t="shared" si="0"/>
        <v>0</v>
      </c>
      <c r="AZ14" s="52">
        <f t="shared" si="1"/>
        <v>0</v>
      </c>
      <c r="BA14" s="53">
        <f t="shared" si="1"/>
        <v>0</v>
      </c>
    </row>
    <row r="15" spans="1:53">
      <c r="A15" s="13"/>
      <c r="B15" s="14"/>
      <c r="C15" s="15"/>
      <c r="D15" s="5"/>
      <c r="E15" s="5"/>
      <c r="F15" s="11"/>
      <c r="G15" s="12"/>
      <c r="H15" s="5"/>
      <c r="I15" s="8"/>
      <c r="J15" s="5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10"/>
      <c r="AM15" s="10"/>
      <c r="AN15" s="10"/>
      <c r="AO15" s="10"/>
      <c r="AP15" s="10"/>
      <c r="AQ15" s="10"/>
      <c r="AR15" s="11">
        <f t="shared" si="2"/>
        <v>0</v>
      </c>
      <c r="AS15" s="8">
        <f t="shared" si="3"/>
        <v>0</v>
      </c>
      <c r="AT15" s="8"/>
      <c r="AU15" s="8"/>
      <c r="AV15" s="48">
        <f t="shared" si="4"/>
        <v>0</v>
      </c>
      <c r="AW15" s="49">
        <f t="shared" si="4"/>
        <v>0</v>
      </c>
      <c r="AX15" s="50">
        <f t="shared" si="0"/>
        <v>0</v>
      </c>
      <c r="AY15" s="51">
        <f t="shared" si="0"/>
        <v>0</v>
      </c>
      <c r="AZ15" s="52">
        <f t="shared" si="1"/>
        <v>0</v>
      </c>
      <c r="BA15" s="53">
        <f t="shared" si="1"/>
        <v>0</v>
      </c>
    </row>
    <row r="16" spans="1:53">
      <c r="A16" s="13"/>
      <c r="B16" s="14"/>
      <c r="C16" s="15"/>
      <c r="D16" s="5"/>
      <c r="E16" s="5"/>
      <c r="F16" s="11"/>
      <c r="G16" s="12"/>
      <c r="H16" s="5"/>
      <c r="I16" s="8"/>
      <c r="J16" s="5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10"/>
      <c r="AM16" s="10"/>
      <c r="AN16" s="10"/>
      <c r="AO16" s="10"/>
      <c r="AP16" s="10"/>
      <c r="AQ16" s="10"/>
      <c r="AR16" s="11">
        <f t="shared" si="2"/>
        <v>0</v>
      </c>
      <c r="AS16" s="8">
        <f t="shared" si="3"/>
        <v>0</v>
      </c>
      <c r="AT16" s="8"/>
      <c r="AU16" s="8"/>
      <c r="AV16" s="48">
        <f t="shared" si="4"/>
        <v>0</v>
      </c>
      <c r="AW16" s="49">
        <f t="shared" si="4"/>
        <v>0</v>
      </c>
      <c r="AX16" s="50">
        <f t="shared" si="0"/>
        <v>0</v>
      </c>
      <c r="AY16" s="51">
        <f t="shared" si="0"/>
        <v>0</v>
      </c>
      <c r="AZ16" s="52">
        <f t="shared" si="1"/>
        <v>0</v>
      </c>
      <c r="BA16" s="53">
        <f t="shared" si="1"/>
        <v>0</v>
      </c>
    </row>
    <row r="17" spans="1:53">
      <c r="A17" s="13"/>
      <c r="B17" s="14"/>
      <c r="C17" s="15"/>
      <c r="D17" s="5"/>
      <c r="E17" s="5"/>
      <c r="F17" s="11"/>
      <c r="G17" s="12"/>
      <c r="H17" s="5"/>
      <c r="I17" s="8"/>
      <c r="J17" s="5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10"/>
      <c r="AM17" s="10"/>
      <c r="AN17" s="10"/>
      <c r="AO17" s="10"/>
      <c r="AP17" s="10"/>
      <c r="AQ17" s="10"/>
      <c r="AR17" s="11">
        <f t="shared" si="2"/>
        <v>0</v>
      </c>
      <c r="AS17" s="8">
        <f t="shared" si="3"/>
        <v>0</v>
      </c>
      <c r="AT17" s="8"/>
      <c r="AU17" s="8"/>
      <c r="AV17" s="48">
        <f t="shared" si="4"/>
        <v>0</v>
      </c>
      <c r="AW17" s="49">
        <f t="shared" si="4"/>
        <v>0</v>
      </c>
      <c r="AX17" s="50">
        <f t="shared" si="0"/>
        <v>0</v>
      </c>
      <c r="AY17" s="51">
        <f t="shared" si="0"/>
        <v>0</v>
      </c>
      <c r="AZ17" s="52">
        <f t="shared" si="1"/>
        <v>0</v>
      </c>
      <c r="BA17" s="53">
        <f t="shared" si="1"/>
        <v>0</v>
      </c>
    </row>
    <row r="18" spans="1:53">
      <c r="A18" s="13"/>
      <c r="B18" s="14"/>
      <c r="C18" s="15"/>
      <c r="D18" s="5"/>
      <c r="E18" s="5"/>
      <c r="F18" s="11"/>
      <c r="G18" s="12"/>
      <c r="H18" s="5"/>
      <c r="I18" s="8"/>
      <c r="J18" s="5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10"/>
      <c r="AM18" s="10"/>
      <c r="AN18" s="10"/>
      <c r="AO18" s="10"/>
      <c r="AP18" s="10"/>
      <c r="AQ18" s="10"/>
      <c r="AR18" s="11">
        <f t="shared" si="2"/>
        <v>0</v>
      </c>
      <c r="AS18" s="8">
        <f t="shared" si="3"/>
        <v>0</v>
      </c>
      <c r="AT18" s="8"/>
      <c r="AU18" s="8"/>
      <c r="AV18" s="48">
        <f t="shared" si="4"/>
        <v>0</v>
      </c>
      <c r="AW18" s="49">
        <f t="shared" si="4"/>
        <v>0</v>
      </c>
      <c r="AX18" s="50">
        <f t="shared" si="0"/>
        <v>0</v>
      </c>
      <c r="AY18" s="51">
        <f t="shared" si="0"/>
        <v>0</v>
      </c>
      <c r="AZ18" s="52">
        <f t="shared" si="1"/>
        <v>0</v>
      </c>
      <c r="BA18" s="53">
        <f t="shared" si="1"/>
        <v>0</v>
      </c>
    </row>
    <row r="19" spans="1:53">
      <c r="A19" s="16"/>
      <c r="B19" s="14"/>
      <c r="C19" s="17"/>
      <c r="D19" s="5"/>
      <c r="E19" s="5"/>
      <c r="F19" s="11"/>
      <c r="G19" s="12"/>
      <c r="H19" s="5"/>
      <c r="I19" s="8"/>
      <c r="J19" s="5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10"/>
      <c r="AM19" s="10"/>
      <c r="AN19" s="10"/>
      <c r="AO19" s="10"/>
      <c r="AP19" s="10"/>
      <c r="AQ19" s="10"/>
      <c r="AR19" s="11">
        <f t="shared" si="2"/>
        <v>0</v>
      </c>
      <c r="AS19" s="8">
        <f t="shared" si="3"/>
        <v>0</v>
      </c>
      <c r="AT19" s="8"/>
      <c r="AU19" s="8"/>
      <c r="AV19" s="48">
        <f t="shared" si="4"/>
        <v>0</v>
      </c>
      <c r="AW19" s="49">
        <f t="shared" si="4"/>
        <v>0</v>
      </c>
      <c r="AX19" s="50">
        <f t="shared" si="0"/>
        <v>0</v>
      </c>
      <c r="AY19" s="51">
        <f t="shared" si="0"/>
        <v>0</v>
      </c>
      <c r="AZ19" s="52">
        <f t="shared" si="1"/>
        <v>0</v>
      </c>
      <c r="BA19" s="53">
        <f t="shared" si="1"/>
        <v>0</v>
      </c>
    </row>
    <row r="20" spans="1:53">
      <c r="A20" s="16"/>
      <c r="B20" s="14"/>
      <c r="C20" s="18"/>
      <c r="D20" s="5"/>
      <c r="E20" s="5"/>
      <c r="F20" s="11"/>
      <c r="G20" s="12"/>
      <c r="H20" s="5"/>
      <c r="I20" s="8"/>
      <c r="J20" s="5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10"/>
      <c r="AM20" s="10"/>
      <c r="AN20" s="10"/>
      <c r="AO20" s="10"/>
      <c r="AP20" s="10"/>
      <c r="AQ20" s="10"/>
      <c r="AR20" s="11">
        <f t="shared" si="2"/>
        <v>0</v>
      </c>
      <c r="AS20" s="8">
        <f t="shared" si="3"/>
        <v>0</v>
      </c>
      <c r="AT20" s="8"/>
      <c r="AU20" s="8"/>
      <c r="AV20" s="48">
        <f t="shared" si="4"/>
        <v>0</v>
      </c>
      <c r="AW20" s="49">
        <f t="shared" si="4"/>
        <v>0</v>
      </c>
      <c r="AX20" s="50">
        <f t="shared" si="0"/>
        <v>0</v>
      </c>
      <c r="AY20" s="51">
        <f t="shared" si="0"/>
        <v>0</v>
      </c>
      <c r="AZ20" s="52">
        <f t="shared" si="1"/>
        <v>0</v>
      </c>
      <c r="BA20" s="53">
        <f t="shared" si="1"/>
        <v>0</v>
      </c>
    </row>
    <row r="21" spans="1:53">
      <c r="A21" s="16"/>
      <c r="B21" s="14"/>
      <c r="C21" s="18"/>
      <c r="D21" s="5"/>
      <c r="E21" s="5"/>
      <c r="F21" s="11"/>
      <c r="G21" s="12"/>
      <c r="H21" s="5"/>
      <c r="I21" s="8"/>
      <c r="J21" s="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10"/>
      <c r="AM21" s="10"/>
      <c r="AN21" s="10"/>
      <c r="AO21" s="10"/>
      <c r="AP21" s="10"/>
      <c r="AQ21" s="10"/>
      <c r="AR21" s="11">
        <f t="shared" si="2"/>
        <v>0</v>
      </c>
      <c r="AS21" s="8">
        <f t="shared" si="3"/>
        <v>0</v>
      </c>
      <c r="AT21" s="8"/>
      <c r="AU21" s="8"/>
      <c r="AV21" s="48">
        <f t="shared" si="4"/>
        <v>0</v>
      </c>
      <c r="AW21" s="49">
        <f t="shared" si="4"/>
        <v>0</v>
      </c>
      <c r="AX21" s="50">
        <f t="shared" si="0"/>
        <v>0</v>
      </c>
      <c r="AY21" s="51">
        <f t="shared" si="0"/>
        <v>0</v>
      </c>
      <c r="AZ21" s="52">
        <f t="shared" si="1"/>
        <v>0</v>
      </c>
      <c r="BA21" s="53">
        <f t="shared" si="1"/>
        <v>0</v>
      </c>
    </row>
    <row r="22" spans="1:53">
      <c r="A22" s="19"/>
      <c r="B22" s="20"/>
      <c r="C22" s="17"/>
      <c r="D22" s="5"/>
      <c r="E22" s="5"/>
      <c r="F22" s="11"/>
      <c r="G22" s="12"/>
      <c r="H22" s="5"/>
      <c r="I22" s="8"/>
      <c r="J22" s="5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10"/>
      <c r="AM22" s="10"/>
      <c r="AN22" s="10"/>
      <c r="AO22" s="10"/>
      <c r="AP22" s="10"/>
      <c r="AQ22" s="10"/>
      <c r="AR22" s="11">
        <f t="shared" si="2"/>
        <v>0</v>
      </c>
      <c r="AS22" s="8">
        <f t="shared" si="3"/>
        <v>0</v>
      </c>
      <c r="AT22" s="8"/>
      <c r="AU22" s="8"/>
      <c r="AV22" s="48">
        <f t="shared" si="4"/>
        <v>0</v>
      </c>
      <c r="AW22" s="49">
        <f t="shared" si="4"/>
        <v>0</v>
      </c>
      <c r="AX22" s="50">
        <f t="shared" si="0"/>
        <v>0</v>
      </c>
      <c r="AY22" s="51">
        <f t="shared" si="0"/>
        <v>0</v>
      </c>
      <c r="AZ22" s="52">
        <f t="shared" si="1"/>
        <v>0</v>
      </c>
      <c r="BA22" s="53">
        <f t="shared" si="1"/>
        <v>0</v>
      </c>
    </row>
    <row r="23" spans="1:53">
      <c r="A23" s="19"/>
      <c r="B23" s="20"/>
      <c r="C23" s="17"/>
      <c r="D23" s="5"/>
      <c r="E23" s="5"/>
      <c r="F23" s="11"/>
      <c r="G23" s="12"/>
      <c r="H23" s="5"/>
      <c r="I23" s="8"/>
      <c r="J23" s="5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10"/>
      <c r="AM23" s="10"/>
      <c r="AN23" s="10"/>
      <c r="AO23" s="10"/>
      <c r="AP23" s="10"/>
      <c r="AQ23" s="10"/>
      <c r="AR23" s="11">
        <f t="shared" si="2"/>
        <v>0</v>
      </c>
      <c r="AS23" s="8">
        <f t="shared" si="3"/>
        <v>0</v>
      </c>
      <c r="AT23" s="8"/>
      <c r="AU23" s="8"/>
      <c r="AV23" s="48">
        <f t="shared" si="4"/>
        <v>0</v>
      </c>
      <c r="AW23" s="49">
        <f t="shared" si="4"/>
        <v>0</v>
      </c>
      <c r="AX23" s="50">
        <f t="shared" ref="AX23:AY86" si="5">AV23</f>
        <v>0</v>
      </c>
      <c r="AY23" s="51">
        <f t="shared" si="5"/>
        <v>0</v>
      </c>
      <c r="AZ23" s="52">
        <f t="shared" ref="AZ23:BA86" si="6">D23+AR23-AX23</f>
        <v>0</v>
      </c>
      <c r="BA23" s="53">
        <f t="shared" si="6"/>
        <v>0</v>
      </c>
    </row>
    <row r="24" spans="1:53">
      <c r="A24" s="19"/>
      <c r="B24" s="20"/>
      <c r="C24" s="17"/>
      <c r="D24" s="5"/>
      <c r="E24" s="5"/>
      <c r="F24" s="11"/>
      <c r="G24" s="12"/>
      <c r="H24" s="5"/>
      <c r="I24" s="8"/>
      <c r="J24" s="5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10"/>
      <c r="AM24" s="10"/>
      <c r="AN24" s="10"/>
      <c r="AO24" s="10"/>
      <c r="AP24" s="10"/>
      <c r="AQ24" s="10"/>
      <c r="AR24" s="11">
        <f t="shared" si="2"/>
        <v>0</v>
      </c>
      <c r="AS24" s="8">
        <f t="shared" si="3"/>
        <v>0</v>
      </c>
      <c r="AT24" s="8"/>
      <c r="AU24" s="8"/>
      <c r="AV24" s="48">
        <f t="shared" si="4"/>
        <v>0</v>
      </c>
      <c r="AW24" s="49">
        <f t="shared" si="4"/>
        <v>0</v>
      </c>
      <c r="AX24" s="50">
        <f t="shared" si="5"/>
        <v>0</v>
      </c>
      <c r="AY24" s="51">
        <f t="shared" si="5"/>
        <v>0</v>
      </c>
      <c r="AZ24" s="52">
        <f t="shared" si="6"/>
        <v>0</v>
      </c>
      <c r="BA24" s="53">
        <f t="shared" si="6"/>
        <v>0</v>
      </c>
    </row>
    <row r="25" spans="1:53">
      <c r="A25" s="19"/>
      <c r="B25" s="20"/>
      <c r="C25" s="17"/>
      <c r="D25" s="5"/>
      <c r="E25" s="5"/>
      <c r="F25" s="11"/>
      <c r="G25" s="12"/>
      <c r="H25" s="5"/>
      <c r="I25" s="8"/>
      <c r="J25" s="5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10"/>
      <c r="AM25" s="10"/>
      <c r="AN25" s="10"/>
      <c r="AO25" s="10"/>
      <c r="AP25" s="10"/>
      <c r="AQ25" s="10"/>
      <c r="AR25" s="11">
        <f t="shared" si="2"/>
        <v>0</v>
      </c>
      <c r="AS25" s="8">
        <f t="shared" si="3"/>
        <v>0</v>
      </c>
      <c r="AT25" s="8"/>
      <c r="AU25" s="8"/>
      <c r="AV25" s="48">
        <f t="shared" si="4"/>
        <v>0</v>
      </c>
      <c r="AW25" s="49">
        <f t="shared" si="4"/>
        <v>0</v>
      </c>
      <c r="AX25" s="50">
        <f t="shared" si="5"/>
        <v>0</v>
      </c>
      <c r="AY25" s="51">
        <f t="shared" si="5"/>
        <v>0</v>
      </c>
      <c r="AZ25" s="52">
        <f t="shared" si="6"/>
        <v>0</v>
      </c>
      <c r="BA25" s="53">
        <f t="shared" si="6"/>
        <v>0</v>
      </c>
    </row>
    <row r="26" spans="1:53">
      <c r="A26" s="19"/>
      <c r="B26" s="20"/>
      <c r="C26" s="17"/>
      <c r="D26" s="5"/>
      <c r="E26" s="5"/>
      <c r="F26" s="11"/>
      <c r="G26" s="12"/>
      <c r="H26" s="5"/>
      <c r="I26" s="8"/>
      <c r="J26" s="5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10"/>
      <c r="AM26" s="10"/>
      <c r="AN26" s="10"/>
      <c r="AO26" s="10"/>
      <c r="AP26" s="10"/>
      <c r="AQ26" s="10"/>
      <c r="AR26" s="11">
        <f t="shared" si="2"/>
        <v>0</v>
      </c>
      <c r="AS26" s="8">
        <f t="shared" si="3"/>
        <v>0</v>
      </c>
      <c r="AT26" s="8"/>
      <c r="AU26" s="8"/>
      <c r="AV26" s="48">
        <f t="shared" si="4"/>
        <v>0</v>
      </c>
      <c r="AW26" s="49">
        <f t="shared" si="4"/>
        <v>0</v>
      </c>
      <c r="AX26" s="50">
        <f t="shared" si="5"/>
        <v>0</v>
      </c>
      <c r="AY26" s="51">
        <f t="shared" si="5"/>
        <v>0</v>
      </c>
      <c r="AZ26" s="52">
        <f t="shared" si="6"/>
        <v>0</v>
      </c>
      <c r="BA26" s="53">
        <f t="shared" si="6"/>
        <v>0</v>
      </c>
    </row>
    <row r="27" spans="1:53">
      <c r="A27" s="19"/>
      <c r="B27" s="20"/>
      <c r="C27" s="17"/>
      <c r="D27" s="5"/>
      <c r="E27" s="5"/>
      <c r="F27" s="11"/>
      <c r="G27" s="12"/>
      <c r="H27" s="5"/>
      <c r="I27" s="8"/>
      <c r="J27" s="5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10"/>
      <c r="AM27" s="10"/>
      <c r="AN27" s="10"/>
      <c r="AO27" s="10"/>
      <c r="AP27" s="10"/>
      <c r="AQ27" s="10"/>
      <c r="AR27" s="11">
        <f t="shared" si="2"/>
        <v>0</v>
      </c>
      <c r="AS27" s="8">
        <f t="shared" si="3"/>
        <v>0</v>
      </c>
      <c r="AT27" s="8"/>
      <c r="AU27" s="8"/>
      <c r="AV27" s="48">
        <f t="shared" si="4"/>
        <v>0</v>
      </c>
      <c r="AW27" s="49">
        <f t="shared" si="4"/>
        <v>0</v>
      </c>
      <c r="AX27" s="50">
        <f t="shared" si="5"/>
        <v>0</v>
      </c>
      <c r="AY27" s="51">
        <f t="shared" si="5"/>
        <v>0</v>
      </c>
      <c r="AZ27" s="52">
        <f t="shared" si="6"/>
        <v>0</v>
      </c>
      <c r="BA27" s="53">
        <f t="shared" si="6"/>
        <v>0</v>
      </c>
    </row>
    <row r="28" spans="1:53">
      <c r="A28" s="19"/>
      <c r="B28" s="20"/>
      <c r="C28" s="17"/>
      <c r="D28" s="5"/>
      <c r="E28" s="5"/>
      <c r="F28" s="11"/>
      <c r="G28" s="12"/>
      <c r="H28" s="5"/>
      <c r="I28" s="8"/>
      <c r="J28" s="5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10"/>
      <c r="AM28" s="10"/>
      <c r="AN28" s="10"/>
      <c r="AO28" s="10"/>
      <c r="AP28" s="10"/>
      <c r="AQ28" s="10"/>
      <c r="AR28" s="11">
        <f t="shared" si="2"/>
        <v>0</v>
      </c>
      <c r="AS28" s="8">
        <f t="shared" si="3"/>
        <v>0</v>
      </c>
      <c r="AT28" s="8"/>
      <c r="AU28" s="8"/>
      <c r="AV28" s="48">
        <f t="shared" si="4"/>
        <v>0</v>
      </c>
      <c r="AW28" s="49">
        <f t="shared" si="4"/>
        <v>0</v>
      </c>
      <c r="AX28" s="50">
        <f t="shared" si="5"/>
        <v>0</v>
      </c>
      <c r="AY28" s="51">
        <f t="shared" si="5"/>
        <v>0</v>
      </c>
      <c r="AZ28" s="52">
        <f t="shared" si="6"/>
        <v>0</v>
      </c>
      <c r="BA28" s="53">
        <f t="shared" si="6"/>
        <v>0</v>
      </c>
    </row>
    <row r="29" spans="1:53">
      <c r="A29" s="19"/>
      <c r="B29" s="20"/>
      <c r="C29" s="17"/>
      <c r="D29" s="5"/>
      <c r="E29" s="5"/>
      <c r="F29" s="11"/>
      <c r="G29" s="12"/>
      <c r="H29" s="5"/>
      <c r="I29" s="8"/>
      <c r="J29" s="5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10"/>
      <c r="AM29" s="10"/>
      <c r="AN29" s="10"/>
      <c r="AO29" s="10"/>
      <c r="AP29" s="10"/>
      <c r="AQ29" s="10"/>
      <c r="AR29" s="11">
        <f t="shared" si="2"/>
        <v>0</v>
      </c>
      <c r="AS29" s="8">
        <f t="shared" si="3"/>
        <v>0</v>
      </c>
      <c r="AT29" s="8"/>
      <c r="AU29" s="8"/>
      <c r="AV29" s="48">
        <f t="shared" si="4"/>
        <v>0</v>
      </c>
      <c r="AW29" s="49">
        <f t="shared" si="4"/>
        <v>0</v>
      </c>
      <c r="AX29" s="50">
        <f t="shared" si="5"/>
        <v>0</v>
      </c>
      <c r="AY29" s="51">
        <f t="shared" si="5"/>
        <v>0</v>
      </c>
      <c r="AZ29" s="52">
        <f t="shared" si="6"/>
        <v>0</v>
      </c>
      <c r="BA29" s="53">
        <f t="shared" si="6"/>
        <v>0</v>
      </c>
    </row>
    <row r="30" spans="1:53">
      <c r="A30" s="19"/>
      <c r="B30" s="20"/>
      <c r="C30" s="17"/>
      <c r="D30" s="5"/>
      <c r="E30" s="5"/>
      <c r="F30" s="11"/>
      <c r="G30" s="12"/>
      <c r="H30" s="5"/>
      <c r="I30" s="8"/>
      <c r="J30" s="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10"/>
      <c r="AM30" s="10"/>
      <c r="AN30" s="10"/>
      <c r="AO30" s="10"/>
      <c r="AP30" s="10"/>
      <c r="AQ30" s="10"/>
      <c r="AR30" s="11">
        <f t="shared" si="2"/>
        <v>0</v>
      </c>
      <c r="AS30" s="8">
        <f t="shared" si="3"/>
        <v>0</v>
      </c>
      <c r="AT30" s="8"/>
      <c r="AU30" s="8"/>
      <c r="AV30" s="48">
        <f t="shared" si="4"/>
        <v>0</v>
      </c>
      <c r="AW30" s="49">
        <f t="shared" si="4"/>
        <v>0</v>
      </c>
      <c r="AX30" s="50">
        <f t="shared" si="5"/>
        <v>0</v>
      </c>
      <c r="AY30" s="51">
        <f t="shared" si="5"/>
        <v>0</v>
      </c>
      <c r="AZ30" s="52">
        <f t="shared" si="6"/>
        <v>0</v>
      </c>
      <c r="BA30" s="53">
        <f t="shared" si="6"/>
        <v>0</v>
      </c>
    </row>
    <row r="31" spans="1:53">
      <c r="A31" s="19"/>
      <c r="B31" s="20"/>
      <c r="C31" s="17"/>
      <c r="D31" s="5"/>
      <c r="E31" s="5"/>
      <c r="F31" s="11"/>
      <c r="G31" s="12"/>
      <c r="H31" s="5"/>
      <c r="I31" s="8"/>
      <c r="J31" s="5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10"/>
      <c r="AM31" s="10"/>
      <c r="AN31" s="10"/>
      <c r="AO31" s="10"/>
      <c r="AP31" s="10"/>
      <c r="AQ31" s="10"/>
      <c r="AR31" s="11">
        <f t="shared" si="2"/>
        <v>0</v>
      </c>
      <c r="AS31" s="8">
        <f t="shared" si="3"/>
        <v>0</v>
      </c>
      <c r="AT31" s="8"/>
      <c r="AU31" s="8"/>
      <c r="AV31" s="48">
        <f t="shared" si="4"/>
        <v>0</v>
      </c>
      <c r="AW31" s="49">
        <f t="shared" si="4"/>
        <v>0</v>
      </c>
      <c r="AX31" s="50">
        <f t="shared" si="5"/>
        <v>0</v>
      </c>
      <c r="AY31" s="51">
        <f t="shared" si="5"/>
        <v>0</v>
      </c>
      <c r="AZ31" s="52">
        <f t="shared" si="6"/>
        <v>0</v>
      </c>
      <c r="BA31" s="53">
        <f t="shared" si="6"/>
        <v>0</v>
      </c>
    </row>
    <row r="32" spans="1:53">
      <c r="A32" s="19"/>
      <c r="B32" s="20"/>
      <c r="C32" s="17"/>
      <c r="D32" s="5"/>
      <c r="E32" s="5"/>
      <c r="F32" s="11"/>
      <c r="G32" s="12"/>
      <c r="H32" s="5"/>
      <c r="I32" s="8"/>
      <c r="J32" s="5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10"/>
      <c r="AM32" s="10"/>
      <c r="AN32" s="10"/>
      <c r="AO32" s="10"/>
      <c r="AP32" s="10"/>
      <c r="AQ32" s="10"/>
      <c r="AR32" s="11">
        <f t="shared" si="2"/>
        <v>0</v>
      </c>
      <c r="AS32" s="8">
        <f t="shared" si="3"/>
        <v>0</v>
      </c>
      <c r="AT32" s="8"/>
      <c r="AU32" s="8"/>
      <c r="AV32" s="48">
        <f t="shared" si="4"/>
        <v>0</v>
      </c>
      <c r="AW32" s="49">
        <f t="shared" si="4"/>
        <v>0</v>
      </c>
      <c r="AX32" s="50">
        <f t="shared" si="5"/>
        <v>0</v>
      </c>
      <c r="AY32" s="51">
        <f t="shared" si="5"/>
        <v>0</v>
      </c>
      <c r="AZ32" s="52">
        <f t="shared" si="6"/>
        <v>0</v>
      </c>
      <c r="BA32" s="53">
        <f t="shared" si="6"/>
        <v>0</v>
      </c>
    </row>
    <row r="33" spans="1:53">
      <c r="A33" s="19"/>
      <c r="B33" s="20"/>
      <c r="C33" s="17"/>
      <c r="D33" s="5"/>
      <c r="E33" s="5"/>
      <c r="F33" s="11"/>
      <c r="G33" s="12"/>
      <c r="H33" s="5"/>
      <c r="I33" s="8"/>
      <c r="J33" s="5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10"/>
      <c r="AM33" s="10"/>
      <c r="AN33" s="10"/>
      <c r="AO33" s="10"/>
      <c r="AP33" s="10"/>
      <c r="AQ33" s="10"/>
      <c r="AR33" s="11">
        <f t="shared" si="2"/>
        <v>0</v>
      </c>
      <c r="AS33" s="8">
        <f t="shared" si="3"/>
        <v>0</v>
      </c>
      <c r="AT33" s="8"/>
      <c r="AU33" s="8"/>
      <c r="AV33" s="48">
        <f t="shared" si="4"/>
        <v>0</v>
      </c>
      <c r="AW33" s="49">
        <f t="shared" si="4"/>
        <v>0</v>
      </c>
      <c r="AX33" s="50">
        <f t="shared" si="5"/>
        <v>0</v>
      </c>
      <c r="AY33" s="51">
        <f t="shared" si="5"/>
        <v>0</v>
      </c>
      <c r="AZ33" s="52">
        <f t="shared" si="6"/>
        <v>0</v>
      </c>
      <c r="BA33" s="53">
        <f t="shared" si="6"/>
        <v>0</v>
      </c>
    </row>
    <row r="34" spans="1:53">
      <c r="A34" s="19"/>
      <c r="B34" s="20"/>
      <c r="C34" s="17"/>
      <c r="D34" s="5"/>
      <c r="E34" s="5"/>
      <c r="F34" s="11"/>
      <c r="G34" s="12"/>
      <c r="H34" s="5"/>
      <c r="I34" s="8"/>
      <c r="J34" s="5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10"/>
      <c r="AM34" s="10"/>
      <c r="AN34" s="10"/>
      <c r="AO34" s="10"/>
      <c r="AP34" s="10"/>
      <c r="AQ34" s="10"/>
      <c r="AR34" s="11">
        <f t="shared" si="2"/>
        <v>0</v>
      </c>
      <c r="AS34" s="8">
        <f t="shared" si="3"/>
        <v>0</v>
      </c>
      <c r="AT34" s="8"/>
      <c r="AU34" s="8"/>
      <c r="AV34" s="48">
        <f t="shared" si="4"/>
        <v>0</v>
      </c>
      <c r="AW34" s="49">
        <f t="shared" si="4"/>
        <v>0</v>
      </c>
      <c r="AX34" s="50">
        <f t="shared" si="5"/>
        <v>0</v>
      </c>
      <c r="AY34" s="51">
        <f t="shared" si="5"/>
        <v>0</v>
      </c>
      <c r="AZ34" s="52">
        <f t="shared" si="6"/>
        <v>0</v>
      </c>
      <c r="BA34" s="53">
        <f t="shared" si="6"/>
        <v>0</v>
      </c>
    </row>
    <row r="35" spans="1:53">
      <c r="A35" s="19"/>
      <c r="B35" s="20"/>
      <c r="C35" s="17"/>
      <c r="D35" s="5"/>
      <c r="E35" s="5"/>
      <c r="F35" s="11"/>
      <c r="G35" s="12"/>
      <c r="H35" s="5"/>
      <c r="I35" s="8"/>
      <c r="J35" s="5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10"/>
      <c r="AM35" s="10"/>
      <c r="AN35" s="10"/>
      <c r="AO35" s="10"/>
      <c r="AP35" s="10"/>
      <c r="AQ35" s="10"/>
      <c r="AR35" s="11">
        <f t="shared" si="2"/>
        <v>0</v>
      </c>
      <c r="AS35" s="8">
        <f t="shared" si="3"/>
        <v>0</v>
      </c>
      <c r="AT35" s="8"/>
      <c r="AU35" s="8"/>
      <c r="AV35" s="48">
        <f t="shared" si="4"/>
        <v>0</v>
      </c>
      <c r="AW35" s="49">
        <f t="shared" si="4"/>
        <v>0</v>
      </c>
      <c r="AX35" s="50">
        <f t="shared" si="5"/>
        <v>0</v>
      </c>
      <c r="AY35" s="51">
        <f t="shared" si="5"/>
        <v>0</v>
      </c>
      <c r="AZ35" s="52">
        <f t="shared" si="6"/>
        <v>0</v>
      </c>
      <c r="BA35" s="53">
        <f t="shared" si="6"/>
        <v>0</v>
      </c>
    </row>
    <row r="36" spans="1:53">
      <c r="A36" s="19"/>
      <c r="B36" s="20"/>
      <c r="C36" s="17"/>
      <c r="D36" s="5"/>
      <c r="E36" s="5"/>
      <c r="F36" s="11"/>
      <c r="G36" s="12"/>
      <c r="H36" s="5"/>
      <c r="I36" s="8"/>
      <c r="J36" s="5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10"/>
      <c r="AM36" s="10"/>
      <c r="AN36" s="10"/>
      <c r="AO36" s="10"/>
      <c r="AP36" s="10"/>
      <c r="AQ36" s="10"/>
      <c r="AR36" s="11">
        <f t="shared" si="2"/>
        <v>0</v>
      </c>
      <c r="AS36" s="8">
        <f t="shared" si="3"/>
        <v>0</v>
      </c>
      <c r="AT36" s="8"/>
      <c r="AU36" s="8"/>
      <c r="AV36" s="48">
        <f t="shared" si="4"/>
        <v>0</v>
      </c>
      <c r="AW36" s="49">
        <f t="shared" si="4"/>
        <v>0</v>
      </c>
      <c r="AX36" s="50">
        <f t="shared" si="5"/>
        <v>0</v>
      </c>
      <c r="AY36" s="51">
        <f t="shared" si="5"/>
        <v>0</v>
      </c>
      <c r="AZ36" s="52">
        <f t="shared" si="6"/>
        <v>0</v>
      </c>
      <c r="BA36" s="53">
        <f t="shared" si="6"/>
        <v>0</v>
      </c>
    </row>
    <row r="37" spans="1:53">
      <c r="A37" s="19"/>
      <c r="B37" s="20"/>
      <c r="C37" s="17"/>
      <c r="D37" s="5"/>
      <c r="E37" s="5"/>
      <c r="F37" s="11"/>
      <c r="G37" s="12"/>
      <c r="H37" s="5"/>
      <c r="I37" s="8"/>
      <c r="J37" s="5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10"/>
      <c r="AM37" s="10"/>
      <c r="AN37" s="10"/>
      <c r="AO37" s="10"/>
      <c r="AP37" s="10"/>
      <c r="AQ37" s="10"/>
      <c r="AR37" s="11">
        <f t="shared" si="2"/>
        <v>0</v>
      </c>
      <c r="AS37" s="8">
        <f t="shared" si="3"/>
        <v>0</v>
      </c>
      <c r="AT37" s="8"/>
      <c r="AU37" s="8"/>
      <c r="AV37" s="48">
        <f t="shared" si="4"/>
        <v>0</v>
      </c>
      <c r="AW37" s="49">
        <f t="shared" si="4"/>
        <v>0</v>
      </c>
      <c r="AX37" s="50">
        <f t="shared" si="5"/>
        <v>0</v>
      </c>
      <c r="AY37" s="51">
        <f t="shared" si="5"/>
        <v>0</v>
      </c>
      <c r="AZ37" s="52">
        <f t="shared" si="6"/>
        <v>0</v>
      </c>
      <c r="BA37" s="53">
        <f t="shared" si="6"/>
        <v>0</v>
      </c>
    </row>
    <row r="38" spans="1:53">
      <c r="A38" s="19"/>
      <c r="B38" s="20"/>
      <c r="C38" s="17"/>
      <c r="D38" s="5"/>
      <c r="E38" s="5"/>
      <c r="F38" s="11"/>
      <c r="G38" s="12"/>
      <c r="H38" s="5"/>
      <c r="I38" s="8"/>
      <c r="J38" s="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10"/>
      <c r="AM38" s="10"/>
      <c r="AN38" s="10"/>
      <c r="AO38" s="10"/>
      <c r="AP38" s="10"/>
      <c r="AQ38" s="10"/>
      <c r="AR38" s="11">
        <f t="shared" si="2"/>
        <v>0</v>
      </c>
      <c r="AS38" s="8">
        <f t="shared" si="3"/>
        <v>0</v>
      </c>
      <c r="AT38" s="8"/>
      <c r="AU38" s="8"/>
      <c r="AV38" s="48">
        <f t="shared" si="4"/>
        <v>0</v>
      </c>
      <c r="AW38" s="49">
        <f t="shared" si="4"/>
        <v>0</v>
      </c>
      <c r="AX38" s="50">
        <f t="shared" si="5"/>
        <v>0</v>
      </c>
      <c r="AY38" s="51">
        <f t="shared" si="5"/>
        <v>0</v>
      </c>
      <c r="AZ38" s="52">
        <f t="shared" si="6"/>
        <v>0</v>
      </c>
      <c r="BA38" s="53">
        <f t="shared" si="6"/>
        <v>0</v>
      </c>
    </row>
    <row r="39" spans="1:53">
      <c r="A39" s="19"/>
      <c r="B39" s="20"/>
      <c r="C39" s="17"/>
      <c r="D39" s="5"/>
      <c r="E39" s="5"/>
      <c r="F39" s="11"/>
      <c r="G39" s="12"/>
      <c r="H39" s="5"/>
      <c r="I39" s="8"/>
      <c r="J39" s="5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10"/>
      <c r="AM39" s="10"/>
      <c r="AN39" s="10"/>
      <c r="AO39" s="10"/>
      <c r="AP39" s="10"/>
      <c r="AQ39" s="10"/>
      <c r="AR39" s="11">
        <f t="shared" si="2"/>
        <v>0</v>
      </c>
      <c r="AS39" s="8">
        <f t="shared" si="3"/>
        <v>0</v>
      </c>
      <c r="AT39" s="8"/>
      <c r="AU39" s="8"/>
      <c r="AV39" s="48">
        <f t="shared" si="4"/>
        <v>0</v>
      </c>
      <c r="AW39" s="49">
        <f t="shared" si="4"/>
        <v>0</v>
      </c>
      <c r="AX39" s="50">
        <f t="shared" si="5"/>
        <v>0</v>
      </c>
      <c r="AY39" s="51">
        <f t="shared" si="5"/>
        <v>0</v>
      </c>
      <c r="AZ39" s="52">
        <f t="shared" si="6"/>
        <v>0</v>
      </c>
      <c r="BA39" s="53">
        <f t="shared" si="6"/>
        <v>0</v>
      </c>
    </row>
    <row r="40" spans="1:53">
      <c r="A40" s="19"/>
      <c r="B40" s="20"/>
      <c r="C40" s="17"/>
      <c r="D40" s="5"/>
      <c r="E40" s="5"/>
      <c r="F40" s="11"/>
      <c r="G40" s="12"/>
      <c r="H40" s="5"/>
      <c r="I40" s="8"/>
      <c r="J40" s="5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10"/>
      <c r="AM40" s="10"/>
      <c r="AN40" s="10"/>
      <c r="AO40" s="10"/>
      <c r="AP40" s="10"/>
      <c r="AQ40" s="10"/>
      <c r="AR40" s="11">
        <f t="shared" si="2"/>
        <v>0</v>
      </c>
      <c r="AS40" s="8">
        <f t="shared" si="3"/>
        <v>0</v>
      </c>
      <c r="AT40" s="8"/>
      <c r="AU40" s="8"/>
      <c r="AV40" s="48">
        <f t="shared" si="4"/>
        <v>0</v>
      </c>
      <c r="AW40" s="49">
        <f t="shared" si="4"/>
        <v>0</v>
      </c>
      <c r="AX40" s="50">
        <f t="shared" si="5"/>
        <v>0</v>
      </c>
      <c r="AY40" s="51">
        <f t="shared" si="5"/>
        <v>0</v>
      </c>
      <c r="AZ40" s="52">
        <f t="shared" si="6"/>
        <v>0</v>
      </c>
      <c r="BA40" s="53">
        <f t="shared" si="6"/>
        <v>0</v>
      </c>
    </row>
    <row r="41" spans="1:53">
      <c r="A41" s="19"/>
      <c r="B41" s="20"/>
      <c r="C41" s="17"/>
      <c r="D41" s="5"/>
      <c r="E41" s="5"/>
      <c r="F41" s="11"/>
      <c r="G41" s="12"/>
      <c r="H41" s="5"/>
      <c r="I41" s="8"/>
      <c r="J41" s="5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10"/>
      <c r="AM41" s="10"/>
      <c r="AN41" s="10"/>
      <c r="AO41" s="10"/>
      <c r="AP41" s="10"/>
      <c r="AQ41" s="10"/>
      <c r="AR41" s="11">
        <f t="shared" si="2"/>
        <v>0</v>
      </c>
      <c r="AS41" s="8">
        <f t="shared" si="3"/>
        <v>0</v>
      </c>
      <c r="AT41" s="8"/>
      <c r="AU41" s="8"/>
      <c r="AV41" s="48">
        <f t="shared" si="4"/>
        <v>0</v>
      </c>
      <c r="AW41" s="49">
        <f t="shared" si="4"/>
        <v>0</v>
      </c>
      <c r="AX41" s="50">
        <f t="shared" si="5"/>
        <v>0</v>
      </c>
      <c r="AY41" s="51">
        <f t="shared" si="5"/>
        <v>0</v>
      </c>
      <c r="AZ41" s="52">
        <f t="shared" si="6"/>
        <v>0</v>
      </c>
      <c r="BA41" s="53">
        <f t="shared" si="6"/>
        <v>0</v>
      </c>
    </row>
    <row r="42" spans="1:53">
      <c r="A42" s="19"/>
      <c r="B42" s="20"/>
      <c r="C42" s="17"/>
      <c r="D42" s="5"/>
      <c r="E42" s="5"/>
      <c r="F42" s="11"/>
      <c r="G42" s="12"/>
      <c r="H42" s="5"/>
      <c r="I42" s="8"/>
      <c r="J42" s="5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10"/>
      <c r="AM42" s="10"/>
      <c r="AN42" s="10"/>
      <c r="AO42" s="10"/>
      <c r="AP42" s="10"/>
      <c r="AQ42" s="10"/>
      <c r="AR42" s="11">
        <f t="shared" si="2"/>
        <v>0</v>
      </c>
      <c r="AS42" s="8">
        <f t="shared" si="3"/>
        <v>0</v>
      </c>
      <c r="AT42" s="8"/>
      <c r="AU42" s="8"/>
      <c r="AV42" s="48">
        <f t="shared" si="4"/>
        <v>0</v>
      </c>
      <c r="AW42" s="49">
        <f t="shared" si="4"/>
        <v>0</v>
      </c>
      <c r="AX42" s="50">
        <f t="shared" si="5"/>
        <v>0</v>
      </c>
      <c r="AY42" s="51">
        <f t="shared" si="5"/>
        <v>0</v>
      </c>
      <c r="AZ42" s="52">
        <f t="shared" si="6"/>
        <v>0</v>
      </c>
      <c r="BA42" s="53">
        <f t="shared" si="6"/>
        <v>0</v>
      </c>
    </row>
    <row r="43" spans="1:53">
      <c r="A43" s="19"/>
      <c r="B43" s="20"/>
      <c r="C43" s="17"/>
      <c r="D43" s="5"/>
      <c r="E43" s="5"/>
      <c r="F43" s="11"/>
      <c r="G43" s="12"/>
      <c r="H43" s="5"/>
      <c r="I43" s="8"/>
      <c r="J43" s="5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10"/>
      <c r="AM43" s="10"/>
      <c r="AN43" s="10"/>
      <c r="AO43" s="10"/>
      <c r="AP43" s="10"/>
      <c r="AQ43" s="10"/>
      <c r="AR43" s="11">
        <f t="shared" si="2"/>
        <v>0</v>
      </c>
      <c r="AS43" s="8">
        <f t="shared" si="3"/>
        <v>0</v>
      </c>
      <c r="AT43" s="8"/>
      <c r="AU43" s="8"/>
      <c r="AV43" s="48">
        <f t="shared" si="4"/>
        <v>0</v>
      </c>
      <c r="AW43" s="49">
        <f t="shared" si="4"/>
        <v>0</v>
      </c>
      <c r="AX43" s="50">
        <f t="shared" si="5"/>
        <v>0</v>
      </c>
      <c r="AY43" s="51">
        <f t="shared" si="5"/>
        <v>0</v>
      </c>
      <c r="AZ43" s="52">
        <f t="shared" si="6"/>
        <v>0</v>
      </c>
      <c r="BA43" s="53">
        <f t="shared" si="6"/>
        <v>0</v>
      </c>
    </row>
    <row r="44" spans="1:53">
      <c r="A44" s="19"/>
      <c r="B44" s="20"/>
      <c r="C44" s="17"/>
      <c r="D44" s="5"/>
      <c r="E44" s="5"/>
      <c r="F44" s="11"/>
      <c r="G44" s="12"/>
      <c r="H44" s="5"/>
      <c r="I44" s="8"/>
      <c r="J44" s="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10"/>
      <c r="AM44" s="10"/>
      <c r="AN44" s="10"/>
      <c r="AO44" s="10"/>
      <c r="AP44" s="10"/>
      <c r="AQ44" s="10"/>
      <c r="AR44" s="11">
        <f t="shared" si="2"/>
        <v>0</v>
      </c>
      <c r="AS44" s="8">
        <f t="shared" si="3"/>
        <v>0</v>
      </c>
      <c r="AT44" s="8"/>
      <c r="AU44" s="8"/>
      <c r="AV44" s="48">
        <f t="shared" si="4"/>
        <v>0</v>
      </c>
      <c r="AW44" s="49">
        <f t="shared" si="4"/>
        <v>0</v>
      </c>
      <c r="AX44" s="50">
        <f t="shared" si="5"/>
        <v>0</v>
      </c>
      <c r="AY44" s="51">
        <f t="shared" si="5"/>
        <v>0</v>
      </c>
      <c r="AZ44" s="52">
        <f t="shared" si="6"/>
        <v>0</v>
      </c>
      <c r="BA44" s="53">
        <f t="shared" si="6"/>
        <v>0</v>
      </c>
    </row>
    <row r="45" spans="1:53">
      <c r="A45" s="19"/>
      <c r="B45" s="20"/>
      <c r="C45" s="17"/>
      <c r="D45" s="5"/>
      <c r="E45" s="5"/>
      <c r="F45" s="11"/>
      <c r="G45" s="12"/>
      <c r="H45" s="5"/>
      <c r="I45" s="8"/>
      <c r="J45" s="5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10"/>
      <c r="AM45" s="10"/>
      <c r="AN45" s="10"/>
      <c r="AO45" s="10"/>
      <c r="AP45" s="10"/>
      <c r="AQ45" s="10"/>
      <c r="AR45" s="11">
        <f t="shared" si="2"/>
        <v>0</v>
      </c>
      <c r="AS45" s="8">
        <f t="shared" si="3"/>
        <v>0</v>
      </c>
      <c r="AT45" s="8"/>
      <c r="AU45" s="8"/>
      <c r="AV45" s="48">
        <f t="shared" si="4"/>
        <v>0</v>
      </c>
      <c r="AW45" s="49">
        <f t="shared" si="4"/>
        <v>0</v>
      </c>
      <c r="AX45" s="50">
        <f t="shared" si="5"/>
        <v>0</v>
      </c>
      <c r="AY45" s="51">
        <f t="shared" si="5"/>
        <v>0</v>
      </c>
      <c r="AZ45" s="52">
        <f t="shared" si="6"/>
        <v>0</v>
      </c>
      <c r="BA45" s="53">
        <f t="shared" si="6"/>
        <v>0</v>
      </c>
    </row>
    <row r="46" spans="1:53">
      <c r="A46" s="19"/>
      <c r="B46" s="20"/>
      <c r="C46" s="17"/>
      <c r="D46" s="5"/>
      <c r="E46" s="5"/>
      <c r="F46" s="11"/>
      <c r="G46" s="12"/>
      <c r="H46" s="5"/>
      <c r="I46" s="8"/>
      <c r="J46" s="5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10"/>
      <c r="AM46" s="10"/>
      <c r="AN46" s="10"/>
      <c r="AO46" s="10"/>
      <c r="AP46" s="10"/>
      <c r="AQ46" s="10"/>
      <c r="AR46" s="11">
        <f t="shared" si="2"/>
        <v>0</v>
      </c>
      <c r="AS46" s="8">
        <f t="shared" si="3"/>
        <v>0</v>
      </c>
      <c r="AT46" s="8"/>
      <c r="AU46" s="8"/>
      <c r="AV46" s="48">
        <f t="shared" si="4"/>
        <v>0</v>
      </c>
      <c r="AW46" s="49">
        <f t="shared" si="4"/>
        <v>0</v>
      </c>
      <c r="AX46" s="50">
        <f t="shared" si="5"/>
        <v>0</v>
      </c>
      <c r="AY46" s="51">
        <f t="shared" si="5"/>
        <v>0</v>
      </c>
      <c r="AZ46" s="52">
        <f t="shared" si="6"/>
        <v>0</v>
      </c>
      <c r="BA46" s="53">
        <f t="shared" si="6"/>
        <v>0</v>
      </c>
    </row>
    <row r="47" spans="1:53">
      <c r="A47" s="19"/>
      <c r="B47" s="20"/>
      <c r="C47" s="17"/>
      <c r="D47" s="5"/>
      <c r="E47" s="5"/>
      <c r="F47" s="11"/>
      <c r="G47" s="12"/>
      <c r="H47" s="5"/>
      <c r="I47" s="8"/>
      <c r="J47" s="5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10"/>
      <c r="AM47" s="10"/>
      <c r="AN47" s="10"/>
      <c r="AO47" s="10"/>
      <c r="AP47" s="10"/>
      <c r="AQ47" s="10"/>
      <c r="AR47" s="11">
        <f t="shared" si="2"/>
        <v>0</v>
      </c>
      <c r="AS47" s="8">
        <f t="shared" si="3"/>
        <v>0</v>
      </c>
      <c r="AT47" s="8"/>
      <c r="AU47" s="8"/>
      <c r="AV47" s="48">
        <f t="shared" si="4"/>
        <v>0</v>
      </c>
      <c r="AW47" s="49">
        <f t="shared" si="4"/>
        <v>0</v>
      </c>
      <c r="AX47" s="50">
        <f t="shared" si="5"/>
        <v>0</v>
      </c>
      <c r="AY47" s="51">
        <f t="shared" si="5"/>
        <v>0</v>
      </c>
      <c r="AZ47" s="52">
        <f t="shared" si="6"/>
        <v>0</v>
      </c>
      <c r="BA47" s="53">
        <f t="shared" si="6"/>
        <v>0</v>
      </c>
    </row>
    <row r="48" spans="1:53">
      <c r="A48" s="19"/>
      <c r="B48" s="20"/>
      <c r="C48" s="17"/>
      <c r="D48" s="5"/>
      <c r="E48" s="5"/>
      <c r="F48" s="11"/>
      <c r="G48" s="12"/>
      <c r="H48" s="5"/>
      <c r="I48" s="8"/>
      <c r="J48" s="5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10"/>
      <c r="AM48" s="10"/>
      <c r="AN48" s="10"/>
      <c r="AO48" s="10"/>
      <c r="AP48" s="10"/>
      <c r="AQ48" s="10"/>
      <c r="AR48" s="11">
        <f t="shared" si="2"/>
        <v>0</v>
      </c>
      <c r="AS48" s="8">
        <f t="shared" si="3"/>
        <v>0</v>
      </c>
      <c r="AT48" s="8"/>
      <c r="AU48" s="8"/>
      <c r="AV48" s="48">
        <f t="shared" si="4"/>
        <v>0</v>
      </c>
      <c r="AW48" s="49">
        <f t="shared" si="4"/>
        <v>0</v>
      </c>
      <c r="AX48" s="50">
        <f t="shared" si="5"/>
        <v>0</v>
      </c>
      <c r="AY48" s="51">
        <f t="shared" si="5"/>
        <v>0</v>
      </c>
      <c r="AZ48" s="52">
        <f t="shared" si="6"/>
        <v>0</v>
      </c>
      <c r="BA48" s="53">
        <f t="shared" si="6"/>
        <v>0</v>
      </c>
    </row>
    <row r="49" spans="1:53">
      <c r="A49" s="19"/>
      <c r="B49" s="20"/>
      <c r="C49" s="17"/>
      <c r="D49" s="5"/>
      <c r="E49" s="5"/>
      <c r="F49" s="11"/>
      <c r="G49" s="12"/>
      <c r="H49" s="5"/>
      <c r="I49" s="8"/>
      <c r="J49" s="5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10"/>
      <c r="AM49" s="10"/>
      <c r="AN49" s="10"/>
      <c r="AO49" s="10"/>
      <c r="AP49" s="10"/>
      <c r="AQ49" s="10"/>
      <c r="AR49" s="11">
        <f t="shared" si="2"/>
        <v>0</v>
      </c>
      <c r="AS49" s="8">
        <f t="shared" si="3"/>
        <v>0</v>
      </c>
      <c r="AT49" s="8"/>
      <c r="AU49" s="8"/>
      <c r="AV49" s="48">
        <f t="shared" si="4"/>
        <v>0</v>
      </c>
      <c r="AW49" s="49">
        <f t="shared" si="4"/>
        <v>0</v>
      </c>
      <c r="AX49" s="50">
        <f t="shared" si="5"/>
        <v>0</v>
      </c>
      <c r="AY49" s="51">
        <f t="shared" si="5"/>
        <v>0</v>
      </c>
      <c r="AZ49" s="52">
        <f t="shared" si="6"/>
        <v>0</v>
      </c>
      <c r="BA49" s="53">
        <f t="shared" si="6"/>
        <v>0</v>
      </c>
    </row>
    <row r="50" spans="1:53">
      <c r="A50" s="19"/>
      <c r="B50" s="20"/>
      <c r="C50" s="17"/>
      <c r="D50" s="5"/>
      <c r="E50" s="5"/>
      <c r="F50" s="11"/>
      <c r="G50" s="12"/>
      <c r="H50" s="5"/>
      <c r="I50" s="8"/>
      <c r="J50" s="5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10"/>
      <c r="AM50" s="10"/>
      <c r="AN50" s="10"/>
      <c r="AO50" s="10"/>
      <c r="AP50" s="10"/>
      <c r="AQ50" s="10"/>
      <c r="AR50" s="11">
        <f t="shared" si="2"/>
        <v>0</v>
      </c>
      <c r="AS50" s="8">
        <f t="shared" si="3"/>
        <v>0</v>
      </c>
      <c r="AT50" s="8"/>
      <c r="AU50" s="8"/>
      <c r="AV50" s="48">
        <f t="shared" si="4"/>
        <v>0</v>
      </c>
      <c r="AW50" s="49">
        <f t="shared" si="4"/>
        <v>0</v>
      </c>
      <c r="AX50" s="50">
        <f t="shared" si="5"/>
        <v>0</v>
      </c>
      <c r="AY50" s="51">
        <f t="shared" si="5"/>
        <v>0</v>
      </c>
      <c r="AZ50" s="52">
        <f t="shared" si="6"/>
        <v>0</v>
      </c>
      <c r="BA50" s="53">
        <f t="shared" si="6"/>
        <v>0</v>
      </c>
    </row>
    <row r="51" spans="1:53">
      <c r="A51" s="19"/>
      <c r="B51" s="20"/>
      <c r="C51" s="17"/>
      <c r="D51" s="5"/>
      <c r="E51" s="5"/>
      <c r="F51" s="11"/>
      <c r="G51" s="12"/>
      <c r="H51" s="5"/>
      <c r="I51" s="8"/>
      <c r="J51" s="5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10"/>
      <c r="AM51" s="10"/>
      <c r="AN51" s="10"/>
      <c r="AO51" s="10"/>
      <c r="AP51" s="10"/>
      <c r="AQ51" s="10"/>
      <c r="AR51" s="11">
        <f t="shared" si="2"/>
        <v>0</v>
      </c>
      <c r="AS51" s="8">
        <f t="shared" si="3"/>
        <v>0</v>
      </c>
      <c r="AT51" s="8"/>
      <c r="AU51" s="8"/>
      <c r="AV51" s="48">
        <f t="shared" si="4"/>
        <v>0</v>
      </c>
      <c r="AW51" s="49">
        <f t="shared" si="4"/>
        <v>0</v>
      </c>
      <c r="AX51" s="50">
        <f t="shared" si="5"/>
        <v>0</v>
      </c>
      <c r="AY51" s="51">
        <f t="shared" si="5"/>
        <v>0</v>
      </c>
      <c r="AZ51" s="52">
        <f t="shared" si="6"/>
        <v>0</v>
      </c>
      <c r="BA51" s="53">
        <f t="shared" si="6"/>
        <v>0</v>
      </c>
    </row>
    <row r="52" spans="1:53">
      <c r="A52" s="19"/>
      <c r="B52" s="20"/>
      <c r="C52" s="17"/>
      <c r="D52" s="5"/>
      <c r="E52" s="5"/>
      <c r="F52" s="11"/>
      <c r="G52" s="12"/>
      <c r="H52" s="5"/>
      <c r="I52" s="8"/>
      <c r="J52" s="5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10"/>
      <c r="AM52" s="10"/>
      <c r="AN52" s="10"/>
      <c r="AO52" s="10"/>
      <c r="AP52" s="10"/>
      <c r="AQ52" s="10"/>
      <c r="AR52" s="11">
        <f t="shared" si="2"/>
        <v>0</v>
      </c>
      <c r="AS52" s="8">
        <f t="shared" si="3"/>
        <v>0</v>
      </c>
      <c r="AT52" s="8"/>
      <c r="AU52" s="8"/>
      <c r="AV52" s="48">
        <f t="shared" si="4"/>
        <v>0</v>
      </c>
      <c r="AW52" s="49">
        <f t="shared" si="4"/>
        <v>0</v>
      </c>
      <c r="AX52" s="50">
        <f t="shared" si="5"/>
        <v>0</v>
      </c>
      <c r="AY52" s="51">
        <f t="shared" si="5"/>
        <v>0</v>
      </c>
      <c r="AZ52" s="52">
        <f t="shared" si="6"/>
        <v>0</v>
      </c>
      <c r="BA52" s="53">
        <f t="shared" si="6"/>
        <v>0</v>
      </c>
    </row>
    <row r="53" spans="1:53">
      <c r="A53" s="19"/>
      <c r="B53" s="20"/>
      <c r="C53" s="17"/>
      <c r="D53" s="5"/>
      <c r="E53" s="5"/>
      <c r="F53" s="11"/>
      <c r="G53" s="12"/>
      <c r="H53" s="5"/>
      <c r="I53" s="8"/>
      <c r="J53" s="5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10"/>
      <c r="AM53" s="10"/>
      <c r="AN53" s="10"/>
      <c r="AO53" s="10"/>
      <c r="AP53" s="10"/>
      <c r="AQ53" s="10"/>
      <c r="AR53" s="11">
        <f t="shared" si="2"/>
        <v>0</v>
      </c>
      <c r="AS53" s="8">
        <f t="shared" si="3"/>
        <v>0</v>
      </c>
      <c r="AT53" s="8"/>
      <c r="AU53" s="8"/>
      <c r="AV53" s="48">
        <f t="shared" si="4"/>
        <v>0</v>
      </c>
      <c r="AW53" s="49">
        <f t="shared" si="4"/>
        <v>0</v>
      </c>
      <c r="AX53" s="50">
        <f t="shared" si="5"/>
        <v>0</v>
      </c>
      <c r="AY53" s="51">
        <f t="shared" si="5"/>
        <v>0</v>
      </c>
      <c r="AZ53" s="52">
        <f t="shared" si="6"/>
        <v>0</v>
      </c>
      <c r="BA53" s="53">
        <f t="shared" si="6"/>
        <v>0</v>
      </c>
    </row>
    <row r="54" spans="1:53">
      <c r="A54" s="19"/>
      <c r="B54" s="20"/>
      <c r="C54" s="17"/>
      <c r="D54" s="5"/>
      <c r="E54" s="5"/>
      <c r="F54" s="11"/>
      <c r="G54" s="12"/>
      <c r="H54" s="5"/>
      <c r="I54" s="8"/>
      <c r="J54" s="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10"/>
      <c r="AM54" s="10"/>
      <c r="AN54" s="10"/>
      <c r="AO54" s="10"/>
      <c r="AP54" s="10"/>
      <c r="AQ54" s="10"/>
      <c r="AR54" s="11">
        <f t="shared" si="2"/>
        <v>0</v>
      </c>
      <c r="AS54" s="8">
        <f t="shared" si="3"/>
        <v>0</v>
      </c>
      <c r="AT54" s="8"/>
      <c r="AU54" s="8"/>
      <c r="AV54" s="48">
        <f t="shared" si="4"/>
        <v>0</v>
      </c>
      <c r="AW54" s="49">
        <f t="shared" si="4"/>
        <v>0</v>
      </c>
      <c r="AX54" s="50">
        <f t="shared" si="5"/>
        <v>0</v>
      </c>
      <c r="AY54" s="51">
        <f t="shared" si="5"/>
        <v>0</v>
      </c>
      <c r="AZ54" s="52">
        <f t="shared" si="6"/>
        <v>0</v>
      </c>
      <c r="BA54" s="53">
        <f t="shared" si="6"/>
        <v>0</v>
      </c>
    </row>
    <row r="55" spans="1:53">
      <c r="A55" s="19"/>
      <c r="B55" s="20"/>
      <c r="C55" s="17"/>
      <c r="D55" s="5"/>
      <c r="E55" s="5"/>
      <c r="F55" s="11"/>
      <c r="G55" s="12"/>
      <c r="H55" s="5"/>
      <c r="I55" s="8"/>
      <c r="J55" s="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10"/>
      <c r="AM55" s="10"/>
      <c r="AN55" s="10"/>
      <c r="AO55" s="10"/>
      <c r="AP55" s="10"/>
      <c r="AQ55" s="10"/>
      <c r="AR55" s="11">
        <f t="shared" si="2"/>
        <v>0</v>
      </c>
      <c r="AS55" s="8">
        <f t="shared" si="3"/>
        <v>0</v>
      </c>
      <c r="AT55" s="8"/>
      <c r="AU55" s="8"/>
      <c r="AV55" s="48">
        <f t="shared" si="4"/>
        <v>0</v>
      </c>
      <c r="AW55" s="49">
        <f t="shared" si="4"/>
        <v>0</v>
      </c>
      <c r="AX55" s="50">
        <f t="shared" si="5"/>
        <v>0</v>
      </c>
      <c r="AY55" s="51">
        <f t="shared" si="5"/>
        <v>0</v>
      </c>
      <c r="AZ55" s="52">
        <f t="shared" si="6"/>
        <v>0</v>
      </c>
      <c r="BA55" s="53">
        <f t="shared" si="6"/>
        <v>0</v>
      </c>
    </row>
    <row r="56" spans="1:53">
      <c r="A56" s="19"/>
      <c r="B56" s="20"/>
      <c r="C56" s="17"/>
      <c r="D56" s="5"/>
      <c r="E56" s="5"/>
      <c r="F56" s="11"/>
      <c r="G56" s="12"/>
      <c r="H56" s="5"/>
      <c r="I56" s="8"/>
      <c r="J56" s="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10"/>
      <c r="AM56" s="10"/>
      <c r="AN56" s="10"/>
      <c r="AO56" s="10"/>
      <c r="AP56" s="10"/>
      <c r="AQ56" s="10"/>
      <c r="AR56" s="11">
        <f t="shared" si="2"/>
        <v>0</v>
      </c>
      <c r="AS56" s="8">
        <f t="shared" si="3"/>
        <v>0</v>
      </c>
      <c r="AT56" s="8"/>
      <c r="AU56" s="8"/>
      <c r="AV56" s="48">
        <f t="shared" si="4"/>
        <v>0</v>
      </c>
      <c r="AW56" s="49">
        <f t="shared" si="4"/>
        <v>0</v>
      </c>
      <c r="AX56" s="50">
        <f t="shared" si="5"/>
        <v>0</v>
      </c>
      <c r="AY56" s="51">
        <f t="shared" si="5"/>
        <v>0</v>
      </c>
      <c r="AZ56" s="52">
        <f t="shared" si="6"/>
        <v>0</v>
      </c>
      <c r="BA56" s="53">
        <f t="shared" si="6"/>
        <v>0</v>
      </c>
    </row>
    <row r="57" spans="1:53">
      <c r="A57" s="19"/>
      <c r="B57" s="20"/>
      <c r="C57" s="17"/>
      <c r="D57" s="5"/>
      <c r="E57" s="5"/>
      <c r="F57" s="11"/>
      <c r="G57" s="12"/>
      <c r="H57" s="5"/>
      <c r="I57" s="8"/>
      <c r="J57" s="5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10"/>
      <c r="AM57" s="10"/>
      <c r="AN57" s="10"/>
      <c r="AO57" s="10"/>
      <c r="AP57" s="10"/>
      <c r="AQ57" s="10"/>
      <c r="AR57" s="11">
        <f t="shared" si="2"/>
        <v>0</v>
      </c>
      <c r="AS57" s="8">
        <f t="shared" si="3"/>
        <v>0</v>
      </c>
      <c r="AT57" s="8"/>
      <c r="AU57" s="8"/>
      <c r="AV57" s="48">
        <f t="shared" si="4"/>
        <v>0</v>
      </c>
      <c r="AW57" s="49">
        <f t="shared" si="4"/>
        <v>0</v>
      </c>
      <c r="AX57" s="50">
        <f t="shared" si="5"/>
        <v>0</v>
      </c>
      <c r="AY57" s="51">
        <f t="shared" si="5"/>
        <v>0</v>
      </c>
      <c r="AZ57" s="52">
        <f t="shared" si="6"/>
        <v>0</v>
      </c>
      <c r="BA57" s="53">
        <f t="shared" si="6"/>
        <v>0</v>
      </c>
    </row>
    <row r="58" spans="1:53">
      <c r="A58" s="19"/>
      <c r="B58" s="20"/>
      <c r="C58" s="17"/>
      <c r="D58" s="5"/>
      <c r="E58" s="5"/>
      <c r="F58" s="11"/>
      <c r="G58" s="12"/>
      <c r="H58" s="5"/>
      <c r="I58" s="8"/>
      <c r="J58" s="5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10"/>
      <c r="AM58" s="10"/>
      <c r="AN58" s="10"/>
      <c r="AO58" s="10"/>
      <c r="AP58" s="10"/>
      <c r="AQ58" s="10"/>
      <c r="AR58" s="11">
        <f t="shared" si="2"/>
        <v>0</v>
      </c>
      <c r="AS58" s="8">
        <f t="shared" si="3"/>
        <v>0</v>
      </c>
      <c r="AT58" s="8"/>
      <c r="AU58" s="8"/>
      <c r="AV58" s="48">
        <f t="shared" si="4"/>
        <v>0</v>
      </c>
      <c r="AW58" s="49">
        <f t="shared" si="4"/>
        <v>0</v>
      </c>
      <c r="AX58" s="50">
        <f t="shared" si="5"/>
        <v>0</v>
      </c>
      <c r="AY58" s="51">
        <f t="shared" si="5"/>
        <v>0</v>
      </c>
      <c r="AZ58" s="52">
        <f t="shared" si="6"/>
        <v>0</v>
      </c>
      <c r="BA58" s="53">
        <f t="shared" si="6"/>
        <v>0</v>
      </c>
    </row>
    <row r="59" spans="1:53">
      <c r="A59" s="19"/>
      <c r="B59" s="20"/>
      <c r="C59" s="17"/>
      <c r="D59" s="5"/>
      <c r="E59" s="5"/>
      <c r="F59" s="11"/>
      <c r="G59" s="12"/>
      <c r="H59" s="5"/>
      <c r="I59" s="8"/>
      <c r="J59" s="5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10"/>
      <c r="AM59" s="10"/>
      <c r="AN59" s="10"/>
      <c r="AO59" s="10"/>
      <c r="AP59" s="10"/>
      <c r="AQ59" s="10"/>
      <c r="AR59" s="11">
        <f t="shared" si="2"/>
        <v>0</v>
      </c>
      <c r="AS59" s="8">
        <f t="shared" si="3"/>
        <v>0</v>
      </c>
      <c r="AT59" s="8"/>
      <c r="AU59" s="8"/>
      <c r="AV59" s="48">
        <f t="shared" si="4"/>
        <v>0</v>
      </c>
      <c r="AW59" s="49">
        <f t="shared" si="4"/>
        <v>0</v>
      </c>
      <c r="AX59" s="50">
        <f t="shared" si="5"/>
        <v>0</v>
      </c>
      <c r="AY59" s="51">
        <f t="shared" si="5"/>
        <v>0</v>
      </c>
      <c r="AZ59" s="52">
        <f t="shared" si="6"/>
        <v>0</v>
      </c>
      <c r="BA59" s="53">
        <f t="shared" si="6"/>
        <v>0</v>
      </c>
    </row>
    <row r="60" spans="1:53">
      <c r="A60" s="19"/>
      <c r="B60" s="20"/>
      <c r="C60" s="17"/>
      <c r="D60" s="5"/>
      <c r="E60" s="5"/>
      <c r="F60" s="11"/>
      <c r="G60" s="12"/>
      <c r="H60" s="5"/>
      <c r="I60" s="8"/>
      <c r="J60" s="5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10"/>
      <c r="AM60" s="10"/>
      <c r="AN60" s="10"/>
      <c r="AO60" s="10"/>
      <c r="AP60" s="10"/>
      <c r="AQ60" s="10"/>
      <c r="AR60" s="11">
        <f t="shared" si="2"/>
        <v>0</v>
      </c>
      <c r="AS60" s="8">
        <f t="shared" si="3"/>
        <v>0</v>
      </c>
      <c r="AT60" s="8"/>
      <c r="AU60" s="8"/>
      <c r="AV60" s="48">
        <f t="shared" si="4"/>
        <v>0</v>
      </c>
      <c r="AW60" s="49">
        <f t="shared" si="4"/>
        <v>0</v>
      </c>
      <c r="AX60" s="50">
        <f t="shared" si="5"/>
        <v>0</v>
      </c>
      <c r="AY60" s="51">
        <f t="shared" si="5"/>
        <v>0</v>
      </c>
      <c r="AZ60" s="52">
        <f t="shared" si="6"/>
        <v>0</v>
      </c>
      <c r="BA60" s="53">
        <f t="shared" si="6"/>
        <v>0</v>
      </c>
    </row>
    <row r="61" spans="1:53">
      <c r="A61" s="19"/>
      <c r="B61" s="20"/>
      <c r="C61" s="17"/>
      <c r="D61" s="5"/>
      <c r="E61" s="5"/>
      <c r="F61" s="11"/>
      <c r="G61" s="12"/>
      <c r="H61" s="5"/>
      <c r="I61" s="8"/>
      <c r="J61" s="5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10"/>
      <c r="AM61" s="10"/>
      <c r="AN61" s="10"/>
      <c r="AO61" s="10"/>
      <c r="AP61" s="10"/>
      <c r="AQ61" s="10"/>
      <c r="AR61" s="11">
        <f t="shared" si="2"/>
        <v>0</v>
      </c>
      <c r="AS61" s="8">
        <f t="shared" si="3"/>
        <v>0</v>
      </c>
      <c r="AT61" s="8"/>
      <c r="AU61" s="8"/>
      <c r="AV61" s="48">
        <f t="shared" si="4"/>
        <v>0</v>
      </c>
      <c r="AW61" s="49">
        <f t="shared" si="4"/>
        <v>0</v>
      </c>
      <c r="AX61" s="50">
        <f t="shared" si="5"/>
        <v>0</v>
      </c>
      <c r="AY61" s="51">
        <f t="shared" si="5"/>
        <v>0</v>
      </c>
      <c r="AZ61" s="52">
        <f t="shared" si="6"/>
        <v>0</v>
      </c>
      <c r="BA61" s="53">
        <f t="shared" si="6"/>
        <v>0</v>
      </c>
    </row>
    <row r="62" spans="1:53">
      <c r="A62" s="19"/>
      <c r="B62" s="20"/>
      <c r="C62" s="17"/>
      <c r="D62" s="5"/>
      <c r="E62" s="5"/>
      <c r="F62" s="11"/>
      <c r="G62" s="12"/>
      <c r="H62" s="5"/>
      <c r="I62" s="8"/>
      <c r="J62" s="5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10"/>
      <c r="AM62" s="10"/>
      <c r="AN62" s="10"/>
      <c r="AO62" s="10"/>
      <c r="AP62" s="10"/>
      <c r="AQ62" s="10"/>
      <c r="AR62" s="11">
        <f t="shared" si="2"/>
        <v>0</v>
      </c>
      <c r="AS62" s="8">
        <f t="shared" si="3"/>
        <v>0</v>
      </c>
      <c r="AT62" s="8"/>
      <c r="AU62" s="8"/>
      <c r="AV62" s="48">
        <f t="shared" si="4"/>
        <v>0</v>
      </c>
      <c r="AW62" s="49">
        <f t="shared" si="4"/>
        <v>0</v>
      </c>
      <c r="AX62" s="50">
        <f t="shared" si="5"/>
        <v>0</v>
      </c>
      <c r="AY62" s="51">
        <f t="shared" si="5"/>
        <v>0</v>
      </c>
      <c r="AZ62" s="52">
        <f t="shared" si="6"/>
        <v>0</v>
      </c>
      <c r="BA62" s="53">
        <f t="shared" si="6"/>
        <v>0</v>
      </c>
    </row>
    <row r="63" spans="1:53">
      <c r="A63" s="19"/>
      <c r="B63" s="20"/>
      <c r="C63" s="17"/>
      <c r="D63" s="5"/>
      <c r="E63" s="5"/>
      <c r="F63" s="11"/>
      <c r="G63" s="12"/>
      <c r="H63" s="5"/>
      <c r="I63" s="8"/>
      <c r="J63" s="5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10"/>
      <c r="AM63" s="10"/>
      <c r="AN63" s="10"/>
      <c r="AO63" s="10"/>
      <c r="AP63" s="10"/>
      <c r="AQ63" s="10"/>
      <c r="AR63" s="11">
        <f t="shared" si="2"/>
        <v>0</v>
      </c>
      <c r="AS63" s="8">
        <f t="shared" si="3"/>
        <v>0</v>
      </c>
      <c r="AT63" s="8"/>
      <c r="AU63" s="8"/>
      <c r="AV63" s="48">
        <f t="shared" si="4"/>
        <v>0</v>
      </c>
      <c r="AW63" s="49">
        <f t="shared" si="4"/>
        <v>0</v>
      </c>
      <c r="AX63" s="50">
        <f t="shared" si="5"/>
        <v>0</v>
      </c>
      <c r="AY63" s="51">
        <f t="shared" si="5"/>
        <v>0</v>
      </c>
      <c r="AZ63" s="52">
        <f t="shared" si="6"/>
        <v>0</v>
      </c>
      <c r="BA63" s="53">
        <f t="shared" si="6"/>
        <v>0</v>
      </c>
    </row>
    <row r="64" spans="1:53">
      <c r="A64" s="19"/>
      <c r="B64" s="20"/>
      <c r="C64" s="17"/>
      <c r="D64" s="5"/>
      <c r="E64" s="5"/>
      <c r="F64" s="11"/>
      <c r="G64" s="12"/>
      <c r="H64" s="5"/>
      <c r="I64" s="8"/>
      <c r="J64" s="5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10"/>
      <c r="AM64" s="10"/>
      <c r="AN64" s="10"/>
      <c r="AO64" s="10"/>
      <c r="AP64" s="10"/>
      <c r="AQ64" s="10"/>
      <c r="AR64" s="11">
        <f t="shared" si="2"/>
        <v>0</v>
      </c>
      <c r="AS64" s="8">
        <f t="shared" si="3"/>
        <v>0</v>
      </c>
      <c r="AT64" s="8"/>
      <c r="AU64" s="8"/>
      <c r="AV64" s="48">
        <f t="shared" si="4"/>
        <v>0</v>
      </c>
      <c r="AW64" s="49">
        <f t="shared" si="4"/>
        <v>0</v>
      </c>
      <c r="AX64" s="50">
        <f t="shared" si="5"/>
        <v>0</v>
      </c>
      <c r="AY64" s="51">
        <f t="shared" si="5"/>
        <v>0</v>
      </c>
      <c r="AZ64" s="52">
        <f t="shared" si="6"/>
        <v>0</v>
      </c>
      <c r="BA64" s="53">
        <f t="shared" si="6"/>
        <v>0</v>
      </c>
    </row>
    <row r="65" spans="1:53">
      <c r="A65" s="19"/>
      <c r="B65" s="20"/>
      <c r="C65" s="17"/>
      <c r="D65" s="5"/>
      <c r="E65" s="5"/>
      <c r="F65" s="11"/>
      <c r="G65" s="12"/>
      <c r="H65" s="5"/>
      <c r="I65" s="8"/>
      <c r="J65" s="5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10"/>
      <c r="AM65" s="10"/>
      <c r="AN65" s="10"/>
      <c r="AO65" s="10"/>
      <c r="AP65" s="10"/>
      <c r="AQ65" s="10"/>
      <c r="AR65" s="11">
        <f t="shared" si="2"/>
        <v>0</v>
      </c>
      <c r="AS65" s="8">
        <f t="shared" si="3"/>
        <v>0</v>
      </c>
      <c r="AT65" s="8"/>
      <c r="AU65" s="8"/>
      <c r="AV65" s="48">
        <f t="shared" si="4"/>
        <v>0</v>
      </c>
      <c r="AW65" s="49">
        <f t="shared" si="4"/>
        <v>0</v>
      </c>
      <c r="AX65" s="50">
        <f t="shared" si="5"/>
        <v>0</v>
      </c>
      <c r="AY65" s="51">
        <f t="shared" si="5"/>
        <v>0</v>
      </c>
      <c r="AZ65" s="52">
        <f t="shared" si="6"/>
        <v>0</v>
      </c>
      <c r="BA65" s="53">
        <f t="shared" si="6"/>
        <v>0</v>
      </c>
    </row>
    <row r="66" spans="1:53">
      <c r="A66" s="19"/>
      <c r="B66" s="20"/>
      <c r="C66" s="17"/>
      <c r="D66" s="5"/>
      <c r="E66" s="5"/>
      <c r="F66" s="11"/>
      <c r="G66" s="12"/>
      <c r="H66" s="5"/>
      <c r="I66" s="8"/>
      <c r="J66" s="5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10"/>
      <c r="AM66" s="10"/>
      <c r="AN66" s="10"/>
      <c r="AO66" s="10"/>
      <c r="AP66" s="10"/>
      <c r="AQ66" s="10"/>
      <c r="AR66" s="11">
        <f t="shared" si="2"/>
        <v>0</v>
      </c>
      <c r="AS66" s="8">
        <f t="shared" si="3"/>
        <v>0</v>
      </c>
      <c r="AT66" s="8"/>
      <c r="AU66" s="8"/>
      <c r="AV66" s="48">
        <f t="shared" si="4"/>
        <v>0</v>
      </c>
      <c r="AW66" s="49">
        <f t="shared" si="4"/>
        <v>0</v>
      </c>
      <c r="AX66" s="50">
        <f t="shared" si="5"/>
        <v>0</v>
      </c>
      <c r="AY66" s="51">
        <f t="shared" si="5"/>
        <v>0</v>
      </c>
      <c r="AZ66" s="52">
        <f t="shared" si="6"/>
        <v>0</v>
      </c>
      <c r="BA66" s="53">
        <f t="shared" si="6"/>
        <v>0</v>
      </c>
    </row>
    <row r="67" spans="1:53">
      <c r="A67" s="19"/>
      <c r="B67" s="20"/>
      <c r="C67" s="17"/>
      <c r="D67" s="5"/>
      <c r="E67" s="5"/>
      <c r="F67" s="11"/>
      <c r="G67" s="12"/>
      <c r="H67" s="5"/>
      <c r="I67" s="8"/>
      <c r="J67" s="5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10"/>
      <c r="AM67" s="10"/>
      <c r="AN67" s="10"/>
      <c r="AO67" s="10"/>
      <c r="AP67" s="10"/>
      <c r="AQ67" s="10"/>
      <c r="AR67" s="11">
        <f t="shared" si="2"/>
        <v>0</v>
      </c>
      <c r="AS67" s="8">
        <f t="shared" si="3"/>
        <v>0</v>
      </c>
      <c r="AT67" s="8"/>
      <c r="AU67" s="8"/>
      <c r="AV67" s="48">
        <f t="shared" si="4"/>
        <v>0</v>
      </c>
      <c r="AW67" s="49">
        <f t="shared" si="4"/>
        <v>0</v>
      </c>
      <c r="AX67" s="50">
        <f t="shared" si="5"/>
        <v>0</v>
      </c>
      <c r="AY67" s="51">
        <f t="shared" si="5"/>
        <v>0</v>
      </c>
      <c r="AZ67" s="52">
        <f t="shared" si="6"/>
        <v>0</v>
      </c>
      <c r="BA67" s="53">
        <f t="shared" si="6"/>
        <v>0</v>
      </c>
    </row>
    <row r="68" spans="1:53">
      <c r="A68" s="19"/>
      <c r="B68" s="20"/>
      <c r="C68" s="17"/>
      <c r="D68" s="5"/>
      <c r="E68" s="5"/>
      <c r="F68" s="11"/>
      <c r="G68" s="12"/>
      <c r="H68" s="5"/>
      <c r="I68" s="8"/>
      <c r="J68" s="5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10"/>
      <c r="AM68" s="10"/>
      <c r="AN68" s="10"/>
      <c r="AO68" s="10"/>
      <c r="AP68" s="10"/>
      <c r="AQ68" s="10"/>
      <c r="AR68" s="11">
        <f t="shared" si="2"/>
        <v>0</v>
      </c>
      <c r="AS68" s="8">
        <f t="shared" si="3"/>
        <v>0</v>
      </c>
      <c r="AT68" s="8"/>
      <c r="AU68" s="8"/>
      <c r="AV68" s="48">
        <f t="shared" si="4"/>
        <v>0</v>
      </c>
      <c r="AW68" s="49">
        <f t="shared" si="4"/>
        <v>0</v>
      </c>
      <c r="AX68" s="50">
        <f t="shared" si="5"/>
        <v>0</v>
      </c>
      <c r="AY68" s="51">
        <f t="shared" si="5"/>
        <v>0</v>
      </c>
      <c r="AZ68" s="52">
        <f t="shared" si="6"/>
        <v>0</v>
      </c>
      <c r="BA68" s="53">
        <f t="shared" si="6"/>
        <v>0</v>
      </c>
    </row>
    <row r="69" spans="1:53">
      <c r="A69" s="19"/>
      <c r="B69" s="20"/>
      <c r="C69" s="17"/>
      <c r="D69" s="5"/>
      <c r="E69" s="5"/>
      <c r="F69" s="11"/>
      <c r="G69" s="12"/>
      <c r="H69" s="5"/>
      <c r="I69" s="8"/>
      <c r="J69" s="5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10"/>
      <c r="AM69" s="10"/>
      <c r="AN69" s="10"/>
      <c r="AO69" s="10"/>
      <c r="AP69" s="10"/>
      <c r="AQ69" s="10"/>
      <c r="AR69" s="11">
        <f t="shared" si="2"/>
        <v>0</v>
      </c>
      <c r="AS69" s="8">
        <f t="shared" si="3"/>
        <v>0</v>
      </c>
      <c r="AT69" s="8"/>
      <c r="AU69" s="8"/>
      <c r="AV69" s="48">
        <f t="shared" si="4"/>
        <v>0</v>
      </c>
      <c r="AW69" s="49">
        <f t="shared" si="4"/>
        <v>0</v>
      </c>
      <c r="AX69" s="50">
        <f t="shared" si="5"/>
        <v>0</v>
      </c>
      <c r="AY69" s="51">
        <f t="shared" si="5"/>
        <v>0</v>
      </c>
      <c r="AZ69" s="52">
        <f t="shared" si="6"/>
        <v>0</v>
      </c>
      <c r="BA69" s="53">
        <f t="shared" si="6"/>
        <v>0</v>
      </c>
    </row>
    <row r="70" spans="1:53">
      <c r="A70" s="19"/>
      <c r="B70" s="20"/>
      <c r="C70" s="17"/>
      <c r="D70" s="5"/>
      <c r="E70" s="5"/>
      <c r="F70" s="11"/>
      <c r="G70" s="12"/>
      <c r="H70" s="5"/>
      <c r="I70" s="8"/>
      <c r="J70" s="5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10"/>
      <c r="AM70" s="10"/>
      <c r="AN70" s="10"/>
      <c r="AO70" s="10"/>
      <c r="AP70" s="10"/>
      <c r="AQ70" s="10"/>
      <c r="AR70" s="11">
        <f t="shared" si="2"/>
        <v>0</v>
      </c>
      <c r="AS70" s="8">
        <f t="shared" si="3"/>
        <v>0</v>
      </c>
      <c r="AT70" s="8"/>
      <c r="AU70" s="8"/>
      <c r="AV70" s="48">
        <f t="shared" si="4"/>
        <v>0</v>
      </c>
      <c r="AW70" s="49">
        <f t="shared" si="4"/>
        <v>0</v>
      </c>
      <c r="AX70" s="50">
        <f t="shared" si="5"/>
        <v>0</v>
      </c>
      <c r="AY70" s="51">
        <f t="shared" si="5"/>
        <v>0</v>
      </c>
      <c r="AZ70" s="52">
        <f t="shared" si="6"/>
        <v>0</v>
      </c>
      <c r="BA70" s="53">
        <f t="shared" si="6"/>
        <v>0</v>
      </c>
    </row>
    <row r="71" spans="1:53">
      <c r="A71" s="19"/>
      <c r="B71" s="20"/>
      <c r="C71" s="17"/>
      <c r="D71" s="5"/>
      <c r="E71" s="5"/>
      <c r="F71" s="11"/>
      <c r="G71" s="12"/>
      <c r="H71" s="5"/>
      <c r="I71" s="8"/>
      <c r="J71" s="5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10"/>
      <c r="AM71" s="10"/>
      <c r="AN71" s="10"/>
      <c r="AO71" s="10"/>
      <c r="AP71" s="10"/>
      <c r="AQ71" s="10"/>
      <c r="AR71" s="11">
        <f t="shared" si="2"/>
        <v>0</v>
      </c>
      <c r="AS71" s="8">
        <f t="shared" si="3"/>
        <v>0</v>
      </c>
      <c r="AT71" s="8"/>
      <c r="AU71" s="8"/>
      <c r="AV71" s="48">
        <f t="shared" si="4"/>
        <v>0</v>
      </c>
      <c r="AW71" s="49">
        <f t="shared" si="4"/>
        <v>0</v>
      </c>
      <c r="AX71" s="50">
        <f t="shared" si="5"/>
        <v>0</v>
      </c>
      <c r="AY71" s="51">
        <f t="shared" si="5"/>
        <v>0</v>
      </c>
      <c r="AZ71" s="52">
        <f t="shared" si="6"/>
        <v>0</v>
      </c>
      <c r="BA71" s="53">
        <f t="shared" si="6"/>
        <v>0</v>
      </c>
    </row>
    <row r="72" spans="1:53">
      <c r="A72" s="19"/>
      <c r="B72" s="20"/>
      <c r="C72" s="17"/>
      <c r="D72" s="5"/>
      <c r="E72" s="5"/>
      <c r="F72" s="11"/>
      <c r="G72" s="12"/>
      <c r="H72" s="5"/>
      <c r="I72" s="8"/>
      <c r="J72" s="5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10"/>
      <c r="AM72" s="10"/>
      <c r="AN72" s="10"/>
      <c r="AO72" s="10"/>
      <c r="AP72" s="10"/>
      <c r="AQ72" s="10"/>
      <c r="AR72" s="11">
        <f t="shared" ref="AR72:AR88" si="7">F72+H72+J72+L72+N72+P72+R72+T72+V72+X72+Z72+AB72+AD72+AF72+AH72+AJ72+AL72+AN72+AP72</f>
        <v>0</v>
      </c>
      <c r="AS72" s="8">
        <f t="shared" ref="AS72" si="8">G72+I72+K72+M72+O72+Q72+S72+U72++W72+Y72+AA72+AC72+AE72+AG72+AI72+AK72+AM72+AO72+AQ72</f>
        <v>0</v>
      </c>
      <c r="AT72" s="8"/>
      <c r="AU72" s="8"/>
      <c r="AV72" s="48">
        <f t="shared" ref="AV72:AW89" si="9">AR72</f>
        <v>0</v>
      </c>
      <c r="AW72" s="49">
        <f t="shared" si="9"/>
        <v>0</v>
      </c>
      <c r="AX72" s="50">
        <f t="shared" si="5"/>
        <v>0</v>
      </c>
      <c r="AY72" s="51">
        <f t="shared" si="5"/>
        <v>0</v>
      </c>
      <c r="AZ72" s="52">
        <f t="shared" si="6"/>
        <v>0</v>
      </c>
      <c r="BA72" s="53">
        <f t="shared" si="6"/>
        <v>0</v>
      </c>
    </row>
    <row r="73" spans="1:53">
      <c r="A73" s="19"/>
      <c r="B73" s="20"/>
      <c r="C73" s="17"/>
      <c r="D73" s="5"/>
      <c r="E73" s="5"/>
      <c r="F73" s="11"/>
      <c r="G73" s="12"/>
      <c r="H73" s="5"/>
      <c r="I73" s="8"/>
      <c r="J73" s="5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10"/>
      <c r="AM73" s="10"/>
      <c r="AN73" s="10"/>
      <c r="AO73" s="10"/>
      <c r="AP73" s="10"/>
      <c r="AQ73" s="10"/>
      <c r="AR73" s="11">
        <f t="shared" si="7"/>
        <v>0</v>
      </c>
      <c r="AS73" s="8">
        <f>G73+I73+K73+M73+O73+Q73+S73+U73++W73+Y73+AA73+AC73+AE73+AG73+AI73+AK73+AM73+AO73+AQ73</f>
        <v>0</v>
      </c>
      <c r="AT73" s="8"/>
      <c r="AU73" s="8"/>
      <c r="AV73" s="48">
        <f t="shared" si="9"/>
        <v>0</v>
      </c>
      <c r="AW73" s="49">
        <f t="shared" si="9"/>
        <v>0</v>
      </c>
      <c r="AX73" s="50">
        <f t="shared" si="5"/>
        <v>0</v>
      </c>
      <c r="AY73" s="51">
        <f t="shared" si="5"/>
        <v>0</v>
      </c>
      <c r="AZ73" s="52">
        <f t="shared" si="6"/>
        <v>0</v>
      </c>
      <c r="BA73" s="53">
        <f t="shared" si="6"/>
        <v>0</v>
      </c>
    </row>
    <row r="74" spans="1:53">
      <c r="A74" s="19"/>
      <c r="B74" s="20"/>
      <c r="C74" s="17"/>
      <c r="D74" s="5"/>
      <c r="E74" s="5"/>
      <c r="F74" s="11"/>
      <c r="G74" s="12"/>
      <c r="H74" s="5"/>
      <c r="I74" s="8"/>
      <c r="J74" s="5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0"/>
      <c r="AM74" s="10"/>
      <c r="AN74" s="10"/>
      <c r="AO74" s="10"/>
      <c r="AP74" s="10"/>
      <c r="AQ74" s="10"/>
      <c r="AR74" s="11">
        <f t="shared" si="7"/>
        <v>0</v>
      </c>
      <c r="AS74" s="8">
        <f t="shared" ref="AS74:AS88" si="10">G74+I74+K74+M74+O74+Q74+S74+U74++W74+Y74+AA74+AC74+AE74+AG74+AI74+AK74+AM74+AO74+AQ74</f>
        <v>0</v>
      </c>
      <c r="AT74" s="8"/>
      <c r="AU74" s="8"/>
      <c r="AV74" s="48">
        <f t="shared" si="9"/>
        <v>0</v>
      </c>
      <c r="AW74" s="49">
        <f t="shared" si="9"/>
        <v>0</v>
      </c>
      <c r="AX74" s="50">
        <f t="shared" si="5"/>
        <v>0</v>
      </c>
      <c r="AY74" s="51">
        <f t="shared" si="5"/>
        <v>0</v>
      </c>
      <c r="AZ74" s="52">
        <f t="shared" si="6"/>
        <v>0</v>
      </c>
      <c r="BA74" s="53">
        <f t="shared" si="6"/>
        <v>0</v>
      </c>
    </row>
    <row r="75" spans="1:53">
      <c r="A75" s="19"/>
      <c r="B75" s="20"/>
      <c r="C75" s="17"/>
      <c r="D75" s="5"/>
      <c r="E75" s="5"/>
      <c r="F75" s="11"/>
      <c r="G75" s="12"/>
      <c r="H75" s="5"/>
      <c r="I75" s="8"/>
      <c r="J75" s="5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0"/>
      <c r="AM75" s="10"/>
      <c r="AN75" s="10"/>
      <c r="AO75" s="10"/>
      <c r="AP75" s="10"/>
      <c r="AQ75" s="10"/>
      <c r="AR75" s="11">
        <f t="shared" si="7"/>
        <v>0</v>
      </c>
      <c r="AS75" s="8">
        <f t="shared" si="10"/>
        <v>0</v>
      </c>
      <c r="AT75" s="8"/>
      <c r="AU75" s="8"/>
      <c r="AV75" s="48">
        <f t="shared" si="9"/>
        <v>0</v>
      </c>
      <c r="AW75" s="49">
        <f t="shared" si="9"/>
        <v>0</v>
      </c>
      <c r="AX75" s="50">
        <f t="shared" si="5"/>
        <v>0</v>
      </c>
      <c r="AY75" s="51">
        <f t="shared" si="5"/>
        <v>0</v>
      </c>
      <c r="AZ75" s="52">
        <f t="shared" si="6"/>
        <v>0</v>
      </c>
      <c r="BA75" s="53">
        <f t="shared" si="6"/>
        <v>0</v>
      </c>
    </row>
    <row r="76" spans="1:53">
      <c r="A76" s="19"/>
      <c r="B76" s="20"/>
      <c r="C76" s="17"/>
      <c r="D76" s="5"/>
      <c r="E76" s="5"/>
      <c r="F76" s="11"/>
      <c r="G76" s="12"/>
      <c r="H76" s="5"/>
      <c r="I76" s="8"/>
      <c r="J76" s="5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10"/>
      <c r="AM76" s="10"/>
      <c r="AN76" s="10"/>
      <c r="AO76" s="10"/>
      <c r="AP76" s="10"/>
      <c r="AQ76" s="10"/>
      <c r="AR76" s="11">
        <f t="shared" si="7"/>
        <v>0</v>
      </c>
      <c r="AS76" s="8">
        <f t="shared" si="10"/>
        <v>0</v>
      </c>
      <c r="AT76" s="8"/>
      <c r="AU76" s="8"/>
      <c r="AV76" s="48">
        <f t="shared" si="9"/>
        <v>0</v>
      </c>
      <c r="AW76" s="49">
        <f t="shared" si="9"/>
        <v>0</v>
      </c>
      <c r="AX76" s="50">
        <f t="shared" si="5"/>
        <v>0</v>
      </c>
      <c r="AY76" s="51">
        <f t="shared" si="5"/>
        <v>0</v>
      </c>
      <c r="AZ76" s="52">
        <f t="shared" si="6"/>
        <v>0</v>
      </c>
      <c r="BA76" s="53">
        <f t="shared" si="6"/>
        <v>0</v>
      </c>
    </row>
    <row r="77" spans="1:53">
      <c r="A77" s="19"/>
      <c r="B77" s="20"/>
      <c r="C77" s="17"/>
      <c r="D77" s="5"/>
      <c r="E77" s="5"/>
      <c r="F77" s="11"/>
      <c r="G77" s="12"/>
      <c r="H77" s="5"/>
      <c r="I77" s="8"/>
      <c r="J77" s="5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10"/>
      <c r="AM77" s="10"/>
      <c r="AN77" s="10"/>
      <c r="AO77" s="10"/>
      <c r="AP77" s="10"/>
      <c r="AQ77" s="10"/>
      <c r="AR77" s="11">
        <f t="shared" si="7"/>
        <v>0</v>
      </c>
      <c r="AS77" s="8">
        <f t="shared" si="10"/>
        <v>0</v>
      </c>
      <c r="AT77" s="8"/>
      <c r="AU77" s="8"/>
      <c r="AV77" s="48">
        <f t="shared" si="9"/>
        <v>0</v>
      </c>
      <c r="AW77" s="49">
        <f t="shared" si="9"/>
        <v>0</v>
      </c>
      <c r="AX77" s="50">
        <f t="shared" si="5"/>
        <v>0</v>
      </c>
      <c r="AY77" s="51">
        <f t="shared" si="5"/>
        <v>0</v>
      </c>
      <c r="AZ77" s="52">
        <f t="shared" si="6"/>
        <v>0</v>
      </c>
      <c r="BA77" s="53">
        <f t="shared" si="6"/>
        <v>0</v>
      </c>
    </row>
    <row r="78" spans="1:53">
      <c r="A78" s="19"/>
      <c r="B78" s="20"/>
      <c r="C78" s="17"/>
      <c r="D78" s="5"/>
      <c r="E78" s="5"/>
      <c r="F78" s="11"/>
      <c r="G78" s="12"/>
      <c r="H78" s="5"/>
      <c r="I78" s="8"/>
      <c r="J78" s="5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10"/>
      <c r="AM78" s="10"/>
      <c r="AN78" s="10"/>
      <c r="AO78" s="10"/>
      <c r="AP78" s="10"/>
      <c r="AQ78" s="10"/>
      <c r="AR78" s="11">
        <f t="shared" si="7"/>
        <v>0</v>
      </c>
      <c r="AS78" s="8">
        <f t="shared" si="10"/>
        <v>0</v>
      </c>
      <c r="AT78" s="8"/>
      <c r="AU78" s="8"/>
      <c r="AV78" s="48">
        <f t="shared" si="9"/>
        <v>0</v>
      </c>
      <c r="AW78" s="49">
        <f t="shared" si="9"/>
        <v>0</v>
      </c>
      <c r="AX78" s="50">
        <f t="shared" si="5"/>
        <v>0</v>
      </c>
      <c r="AY78" s="51">
        <f t="shared" si="5"/>
        <v>0</v>
      </c>
      <c r="AZ78" s="52">
        <f t="shared" si="6"/>
        <v>0</v>
      </c>
      <c r="BA78" s="53">
        <f t="shared" si="6"/>
        <v>0</v>
      </c>
    </row>
    <row r="79" spans="1:53">
      <c r="A79" s="19"/>
      <c r="B79" s="20"/>
      <c r="C79" s="17"/>
      <c r="D79" s="5"/>
      <c r="E79" s="5"/>
      <c r="F79" s="11"/>
      <c r="G79" s="12"/>
      <c r="H79" s="5"/>
      <c r="I79" s="8"/>
      <c r="J79" s="5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10"/>
      <c r="AM79" s="10"/>
      <c r="AN79" s="10"/>
      <c r="AO79" s="10"/>
      <c r="AP79" s="10"/>
      <c r="AQ79" s="10"/>
      <c r="AR79" s="11">
        <f t="shared" si="7"/>
        <v>0</v>
      </c>
      <c r="AS79" s="8">
        <f t="shared" si="10"/>
        <v>0</v>
      </c>
      <c r="AT79" s="8"/>
      <c r="AU79" s="8"/>
      <c r="AV79" s="48">
        <f t="shared" si="9"/>
        <v>0</v>
      </c>
      <c r="AW79" s="49">
        <f t="shared" si="9"/>
        <v>0</v>
      </c>
      <c r="AX79" s="50">
        <f t="shared" si="5"/>
        <v>0</v>
      </c>
      <c r="AY79" s="51">
        <f t="shared" si="5"/>
        <v>0</v>
      </c>
      <c r="AZ79" s="52">
        <f t="shared" si="6"/>
        <v>0</v>
      </c>
      <c r="BA79" s="53">
        <f t="shared" si="6"/>
        <v>0</v>
      </c>
    </row>
    <row r="80" spans="1:53">
      <c r="A80" s="19"/>
      <c r="B80" s="20"/>
      <c r="C80" s="17"/>
      <c r="D80" s="5"/>
      <c r="E80" s="5"/>
      <c r="F80" s="11"/>
      <c r="G80" s="12"/>
      <c r="H80" s="5"/>
      <c r="I80" s="8"/>
      <c r="J80" s="5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10"/>
      <c r="AM80" s="10"/>
      <c r="AN80" s="10"/>
      <c r="AO80" s="10"/>
      <c r="AP80" s="10"/>
      <c r="AQ80" s="10"/>
      <c r="AR80" s="11">
        <f t="shared" si="7"/>
        <v>0</v>
      </c>
      <c r="AS80" s="8">
        <f t="shared" si="10"/>
        <v>0</v>
      </c>
      <c r="AT80" s="8"/>
      <c r="AU80" s="8"/>
      <c r="AV80" s="48">
        <f t="shared" si="9"/>
        <v>0</v>
      </c>
      <c r="AW80" s="49">
        <f t="shared" si="9"/>
        <v>0</v>
      </c>
      <c r="AX80" s="50">
        <f t="shared" si="5"/>
        <v>0</v>
      </c>
      <c r="AY80" s="51">
        <f t="shared" si="5"/>
        <v>0</v>
      </c>
      <c r="AZ80" s="52">
        <f t="shared" si="6"/>
        <v>0</v>
      </c>
      <c r="BA80" s="53">
        <f t="shared" si="6"/>
        <v>0</v>
      </c>
    </row>
    <row r="81" spans="1:53">
      <c r="A81" s="19"/>
      <c r="B81" s="20"/>
      <c r="C81" s="17"/>
      <c r="D81" s="5"/>
      <c r="E81" s="5"/>
      <c r="F81" s="11"/>
      <c r="G81" s="12"/>
      <c r="H81" s="5"/>
      <c r="I81" s="8"/>
      <c r="J81" s="5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10"/>
      <c r="AM81" s="10"/>
      <c r="AN81" s="10"/>
      <c r="AO81" s="10"/>
      <c r="AP81" s="10"/>
      <c r="AQ81" s="10"/>
      <c r="AR81" s="11">
        <f t="shared" si="7"/>
        <v>0</v>
      </c>
      <c r="AS81" s="8">
        <f t="shared" si="10"/>
        <v>0</v>
      </c>
      <c r="AT81" s="8"/>
      <c r="AU81" s="8"/>
      <c r="AV81" s="48">
        <f t="shared" si="9"/>
        <v>0</v>
      </c>
      <c r="AW81" s="49">
        <f t="shared" si="9"/>
        <v>0</v>
      </c>
      <c r="AX81" s="50">
        <f t="shared" si="5"/>
        <v>0</v>
      </c>
      <c r="AY81" s="51">
        <f t="shared" si="5"/>
        <v>0</v>
      </c>
      <c r="AZ81" s="52">
        <f t="shared" si="6"/>
        <v>0</v>
      </c>
      <c r="BA81" s="53">
        <f t="shared" si="6"/>
        <v>0</v>
      </c>
    </row>
    <row r="82" spans="1:53">
      <c r="A82" s="19"/>
      <c r="B82" s="20"/>
      <c r="C82" s="17"/>
      <c r="D82" s="5"/>
      <c r="E82" s="5"/>
      <c r="F82" s="11"/>
      <c r="G82" s="12"/>
      <c r="H82" s="5"/>
      <c r="I82" s="8"/>
      <c r="J82" s="5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10"/>
      <c r="AM82" s="10"/>
      <c r="AN82" s="10"/>
      <c r="AO82" s="10"/>
      <c r="AP82" s="10"/>
      <c r="AQ82" s="10"/>
      <c r="AR82" s="11">
        <f t="shared" si="7"/>
        <v>0</v>
      </c>
      <c r="AS82" s="8">
        <f t="shared" si="10"/>
        <v>0</v>
      </c>
      <c r="AT82" s="8"/>
      <c r="AU82" s="8"/>
      <c r="AV82" s="48">
        <f t="shared" si="9"/>
        <v>0</v>
      </c>
      <c r="AW82" s="49">
        <f t="shared" si="9"/>
        <v>0</v>
      </c>
      <c r="AX82" s="50">
        <f t="shared" si="5"/>
        <v>0</v>
      </c>
      <c r="AY82" s="51">
        <f t="shared" si="5"/>
        <v>0</v>
      </c>
      <c r="AZ82" s="52">
        <f t="shared" si="6"/>
        <v>0</v>
      </c>
      <c r="BA82" s="53">
        <f t="shared" si="6"/>
        <v>0</v>
      </c>
    </row>
    <row r="83" spans="1:53">
      <c r="A83" s="19"/>
      <c r="B83" s="20"/>
      <c r="C83" s="17"/>
      <c r="D83" s="5"/>
      <c r="E83" s="5"/>
      <c r="F83" s="11"/>
      <c r="G83" s="12"/>
      <c r="H83" s="5"/>
      <c r="I83" s="8"/>
      <c r="J83" s="5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10"/>
      <c r="AM83" s="10"/>
      <c r="AN83" s="10"/>
      <c r="AO83" s="10"/>
      <c r="AP83" s="10"/>
      <c r="AQ83" s="10"/>
      <c r="AR83" s="11">
        <f t="shared" si="7"/>
        <v>0</v>
      </c>
      <c r="AS83" s="8">
        <f t="shared" si="10"/>
        <v>0</v>
      </c>
      <c r="AT83" s="8"/>
      <c r="AU83" s="8"/>
      <c r="AV83" s="48">
        <f t="shared" si="9"/>
        <v>0</v>
      </c>
      <c r="AW83" s="49">
        <f t="shared" si="9"/>
        <v>0</v>
      </c>
      <c r="AX83" s="50">
        <f t="shared" si="5"/>
        <v>0</v>
      </c>
      <c r="AY83" s="51">
        <f t="shared" si="5"/>
        <v>0</v>
      </c>
      <c r="AZ83" s="52">
        <f t="shared" si="6"/>
        <v>0</v>
      </c>
      <c r="BA83" s="53">
        <f t="shared" si="6"/>
        <v>0</v>
      </c>
    </row>
    <row r="84" spans="1:53">
      <c r="A84" s="19"/>
      <c r="B84" s="20"/>
      <c r="C84" s="17"/>
      <c r="D84" s="5"/>
      <c r="E84" s="5"/>
      <c r="F84" s="11"/>
      <c r="G84" s="12"/>
      <c r="H84" s="5"/>
      <c r="I84" s="8"/>
      <c r="J84" s="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10"/>
      <c r="AM84" s="10"/>
      <c r="AN84" s="10"/>
      <c r="AO84" s="10"/>
      <c r="AP84" s="10"/>
      <c r="AQ84" s="10"/>
      <c r="AR84" s="11">
        <f t="shared" si="7"/>
        <v>0</v>
      </c>
      <c r="AS84" s="8">
        <f t="shared" si="10"/>
        <v>0</v>
      </c>
      <c r="AT84" s="8"/>
      <c r="AU84" s="8"/>
      <c r="AV84" s="48">
        <f t="shared" si="9"/>
        <v>0</v>
      </c>
      <c r="AW84" s="49">
        <f t="shared" si="9"/>
        <v>0</v>
      </c>
      <c r="AX84" s="50">
        <f t="shared" si="5"/>
        <v>0</v>
      </c>
      <c r="AY84" s="51">
        <f t="shared" si="5"/>
        <v>0</v>
      </c>
      <c r="AZ84" s="52">
        <f t="shared" si="6"/>
        <v>0</v>
      </c>
      <c r="BA84" s="53">
        <f t="shared" si="6"/>
        <v>0</v>
      </c>
    </row>
    <row r="85" spans="1:53">
      <c r="A85" s="19"/>
      <c r="B85" s="20"/>
      <c r="C85" s="17"/>
      <c r="D85" s="5"/>
      <c r="E85" s="5"/>
      <c r="F85" s="11"/>
      <c r="G85" s="12"/>
      <c r="H85" s="5"/>
      <c r="I85" s="8"/>
      <c r="J85" s="5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10"/>
      <c r="AM85" s="10"/>
      <c r="AN85" s="10"/>
      <c r="AO85" s="10"/>
      <c r="AP85" s="10"/>
      <c r="AQ85" s="10"/>
      <c r="AR85" s="11">
        <f t="shared" si="7"/>
        <v>0</v>
      </c>
      <c r="AS85" s="8">
        <f t="shared" si="10"/>
        <v>0</v>
      </c>
      <c r="AT85" s="8"/>
      <c r="AU85" s="8"/>
      <c r="AV85" s="48">
        <f t="shared" si="9"/>
        <v>0</v>
      </c>
      <c r="AW85" s="49">
        <f t="shared" si="9"/>
        <v>0</v>
      </c>
      <c r="AX85" s="50">
        <f t="shared" si="5"/>
        <v>0</v>
      </c>
      <c r="AY85" s="51">
        <f t="shared" si="5"/>
        <v>0</v>
      </c>
      <c r="AZ85" s="52">
        <f t="shared" si="6"/>
        <v>0</v>
      </c>
      <c r="BA85" s="53">
        <f t="shared" si="6"/>
        <v>0</v>
      </c>
    </row>
    <row r="86" spans="1:53">
      <c r="A86" s="19"/>
      <c r="B86" s="20"/>
      <c r="C86" s="17"/>
      <c r="D86" s="5"/>
      <c r="E86" s="5"/>
      <c r="F86" s="11"/>
      <c r="G86" s="12"/>
      <c r="H86" s="5"/>
      <c r="I86" s="8"/>
      <c r="J86" s="5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10"/>
      <c r="AM86" s="10"/>
      <c r="AN86" s="10"/>
      <c r="AO86" s="10"/>
      <c r="AP86" s="10"/>
      <c r="AQ86" s="10"/>
      <c r="AR86" s="11">
        <f t="shared" si="7"/>
        <v>0</v>
      </c>
      <c r="AS86" s="8">
        <f t="shared" si="10"/>
        <v>0</v>
      </c>
      <c r="AT86" s="8"/>
      <c r="AU86" s="8"/>
      <c r="AV86" s="48">
        <f t="shared" si="9"/>
        <v>0</v>
      </c>
      <c r="AW86" s="49">
        <f t="shared" si="9"/>
        <v>0</v>
      </c>
      <c r="AX86" s="50">
        <f t="shared" si="5"/>
        <v>0</v>
      </c>
      <c r="AY86" s="51">
        <f t="shared" si="5"/>
        <v>0</v>
      </c>
      <c r="AZ86" s="52">
        <f t="shared" si="6"/>
        <v>0</v>
      </c>
      <c r="BA86" s="53">
        <f t="shared" si="6"/>
        <v>0</v>
      </c>
    </row>
    <row r="87" spans="1:53">
      <c r="A87" s="19"/>
      <c r="B87" s="20"/>
      <c r="C87" s="17"/>
      <c r="D87" s="5"/>
      <c r="E87" s="5"/>
      <c r="F87" s="11"/>
      <c r="G87" s="12"/>
      <c r="H87" s="5"/>
      <c r="I87" s="8"/>
      <c r="J87" s="5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10"/>
      <c r="AM87" s="10"/>
      <c r="AN87" s="10"/>
      <c r="AO87" s="10"/>
      <c r="AP87" s="10"/>
      <c r="AQ87" s="10"/>
      <c r="AR87" s="11">
        <f t="shared" si="7"/>
        <v>0</v>
      </c>
      <c r="AS87" s="8">
        <f t="shared" si="10"/>
        <v>0</v>
      </c>
      <c r="AT87" s="8"/>
      <c r="AU87" s="8"/>
      <c r="AV87" s="48">
        <f t="shared" si="9"/>
        <v>0</v>
      </c>
      <c r="AW87" s="49">
        <f t="shared" si="9"/>
        <v>0</v>
      </c>
      <c r="AX87" s="50">
        <f t="shared" ref="AX87:AY89" si="11">AV87</f>
        <v>0</v>
      </c>
      <c r="AY87" s="51">
        <f t="shared" si="11"/>
        <v>0</v>
      </c>
      <c r="AZ87" s="52">
        <f t="shared" ref="AZ87:BA89" si="12">D87+AR87-AX87</f>
        <v>0</v>
      </c>
      <c r="BA87" s="53">
        <f t="shared" si="12"/>
        <v>0</v>
      </c>
    </row>
    <row r="88" spans="1:53">
      <c r="A88" s="19"/>
      <c r="B88" s="20"/>
      <c r="C88" s="17"/>
      <c r="D88" s="5"/>
      <c r="E88" s="5"/>
      <c r="F88" s="11"/>
      <c r="G88" s="12"/>
      <c r="H88" s="5"/>
      <c r="I88" s="8"/>
      <c r="J88" s="5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10"/>
      <c r="AM88" s="10"/>
      <c r="AN88" s="10"/>
      <c r="AO88" s="10"/>
      <c r="AP88" s="10"/>
      <c r="AQ88" s="10"/>
      <c r="AR88" s="11">
        <f t="shared" si="7"/>
        <v>0</v>
      </c>
      <c r="AS88" s="8">
        <f t="shared" si="10"/>
        <v>0</v>
      </c>
      <c r="AT88" s="8"/>
      <c r="AU88" s="8"/>
      <c r="AV88" s="48">
        <f t="shared" si="9"/>
        <v>0</v>
      </c>
      <c r="AW88" s="49">
        <f t="shared" si="9"/>
        <v>0</v>
      </c>
      <c r="AX88" s="50">
        <f t="shared" si="11"/>
        <v>0</v>
      </c>
      <c r="AY88" s="51">
        <f t="shared" si="11"/>
        <v>0</v>
      </c>
      <c r="AZ88" s="52">
        <f t="shared" si="12"/>
        <v>0</v>
      </c>
      <c r="BA88" s="53">
        <f t="shared" si="12"/>
        <v>0</v>
      </c>
    </row>
    <row r="89" spans="1:53" ht="15.75" thickBot="1">
      <c r="A89" s="19"/>
      <c r="B89" s="20"/>
      <c r="C89" s="17"/>
      <c r="D89" s="5"/>
      <c r="E89" s="5"/>
      <c r="F89" s="11"/>
      <c r="G89" s="12"/>
      <c r="H89" s="5"/>
      <c r="I89" s="8"/>
      <c r="J89" s="5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10"/>
      <c r="AM89" s="10"/>
      <c r="AN89" s="10"/>
      <c r="AO89" s="10"/>
      <c r="AP89" s="10"/>
      <c r="AQ89" s="10"/>
      <c r="AR89" s="11">
        <f>F89+H89+J89+L89+N89+P89+R89+T89+V89+X89+Z89+AB89+AD89+AF89+AH89+AJ89+AL89+AN89+AP89</f>
        <v>0</v>
      </c>
      <c r="AS89" s="8">
        <f>G89+I89+K89+M89+O89+Q89+S89+U89++W89+Y89+AA89+AC89+AE89+AG89+AI89+AK89+AM89+AO89+AQ89</f>
        <v>0</v>
      </c>
      <c r="AT89" s="8"/>
      <c r="AU89" s="8"/>
      <c r="AV89" s="48">
        <f t="shared" si="9"/>
        <v>0</v>
      </c>
      <c r="AW89" s="49">
        <f t="shared" si="9"/>
        <v>0</v>
      </c>
      <c r="AX89" s="50">
        <f t="shared" si="11"/>
        <v>0</v>
      </c>
      <c r="AY89" s="51">
        <f t="shared" si="11"/>
        <v>0</v>
      </c>
      <c r="AZ89" s="52">
        <f t="shared" si="12"/>
        <v>0</v>
      </c>
      <c r="BA89" s="53">
        <f t="shared" si="12"/>
        <v>0</v>
      </c>
    </row>
    <row r="90" spans="1:53" ht="15.75" thickBot="1">
      <c r="A90" s="21" t="s">
        <v>14</v>
      </c>
      <c r="B90" s="22"/>
      <c r="C90" s="23"/>
      <c r="D90" s="24"/>
      <c r="E90" s="25">
        <f>SUM(E7:E89)</f>
        <v>0</v>
      </c>
      <c r="F90" s="26"/>
      <c r="G90" s="25">
        <f>SUM(G7:G89)</f>
        <v>0</v>
      </c>
      <c r="H90" s="26"/>
      <c r="I90" s="25">
        <f>SUM(I7:I89)</f>
        <v>0</v>
      </c>
      <c r="J90" s="26"/>
      <c r="K90" s="25">
        <f>SUM(K7:K89)</f>
        <v>0</v>
      </c>
      <c r="L90" s="25"/>
      <c r="M90" s="25">
        <f>SUM(M7:M89)</f>
        <v>0</v>
      </c>
      <c r="N90" s="25"/>
      <c r="O90" s="25">
        <f>SUM(O7:O89)</f>
        <v>0</v>
      </c>
      <c r="P90" s="25"/>
      <c r="Q90" s="25">
        <f>SUM(Q7:Q89)</f>
        <v>0</v>
      </c>
      <c r="R90" s="25"/>
      <c r="S90" s="25">
        <f>SUM(S7:S89)</f>
        <v>0</v>
      </c>
      <c r="T90" s="25"/>
      <c r="U90" s="25">
        <f>SUM(U7:U89)</f>
        <v>0</v>
      </c>
      <c r="V90" s="25"/>
      <c r="W90" s="25">
        <f>SUM(W7:W89)</f>
        <v>0</v>
      </c>
      <c r="X90" s="25"/>
      <c r="Y90" s="25">
        <f>SUM(Y7:Y89)</f>
        <v>0</v>
      </c>
      <c r="Z90" s="25"/>
      <c r="AA90" s="25">
        <f>SUM(AA7:AA89)</f>
        <v>0</v>
      </c>
      <c r="AB90" s="25"/>
      <c r="AC90" s="25">
        <f>SUM(AC7:AC89)</f>
        <v>0</v>
      </c>
      <c r="AD90" s="25"/>
      <c r="AE90" s="25">
        <f>SUM(AE7:AE89)</f>
        <v>0</v>
      </c>
      <c r="AF90" s="25"/>
      <c r="AG90" s="25">
        <f>SUM(AG7:AG89)</f>
        <v>0</v>
      </c>
      <c r="AH90" s="25"/>
      <c r="AI90" s="25">
        <f>SUM(AI7:AI89)</f>
        <v>0</v>
      </c>
      <c r="AJ90" s="25"/>
      <c r="AK90" s="25">
        <f>SUM(AK7:AK89)</f>
        <v>0</v>
      </c>
      <c r="AL90" s="27"/>
      <c r="AM90" s="25">
        <f>SUM(AM7:AM89)</f>
        <v>0</v>
      </c>
      <c r="AN90" s="25"/>
      <c r="AO90" s="25">
        <f>SUM(AO7:AO89)</f>
        <v>0</v>
      </c>
      <c r="AP90" s="25"/>
      <c r="AQ90" s="25">
        <f>SUM(AQ7:AQ89)</f>
        <v>0</v>
      </c>
      <c r="AR90" s="26">
        <f>SUM(AR7:AR89)</f>
        <v>0</v>
      </c>
      <c r="AS90" s="25">
        <f>SUM(AS7:AS89)</f>
        <v>0</v>
      </c>
      <c r="AT90" s="25"/>
      <c r="AU90" s="25">
        <f>SUM(AU7:AU89)</f>
        <v>0</v>
      </c>
      <c r="AV90" s="28">
        <f>D90*10%</f>
        <v>0</v>
      </c>
      <c r="AW90" s="25">
        <f>SUM(AW7:AW89)</f>
        <v>0</v>
      </c>
      <c r="AX90" s="26"/>
      <c r="AY90" s="25">
        <f>SUM(AY7:AY89)</f>
        <v>0</v>
      </c>
      <c r="AZ90" s="25"/>
      <c r="BA90" s="25">
        <f>SUM(BA7:BA89)</f>
        <v>0</v>
      </c>
    </row>
    <row r="91" spans="1:53">
      <c r="A91" s="2"/>
      <c r="E91" s="29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W91" s="29"/>
    </row>
    <row r="92" spans="1:53">
      <c r="G92" s="30"/>
      <c r="I92" s="31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W92" s="32">
        <f>'[1]04'!AI82+'[1]05'!W24</f>
        <v>2212472637.6199999</v>
      </c>
      <c r="BA92" s="32">
        <f>E90+AS90-AY90</f>
        <v>0</v>
      </c>
    </row>
    <row r="93" spans="1:53">
      <c r="F93" s="33"/>
      <c r="G93" s="30"/>
      <c r="I93" s="34"/>
      <c r="AW93" s="29"/>
    </row>
    <row r="94" spans="1:53">
      <c r="G94" s="34"/>
      <c r="AR94" s="56"/>
      <c r="AS94" s="56"/>
      <c r="AT94" s="35"/>
      <c r="AU94" s="35"/>
      <c r="BA94" s="36"/>
    </row>
    <row r="95" spans="1:53">
      <c r="A95" t="s">
        <v>15</v>
      </c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W95" s="37"/>
    </row>
    <row r="96" spans="1:53">
      <c r="AW96" s="38"/>
    </row>
    <row r="98" spans="7:7">
      <c r="G98" s="39"/>
    </row>
    <row r="99" spans="7:7">
      <c r="G99" s="40"/>
    </row>
  </sheetData>
  <mergeCells count="37">
    <mergeCell ref="A3:A5"/>
    <mergeCell ref="B3:B5"/>
    <mergeCell ref="C3:C5"/>
    <mergeCell ref="D3:D4"/>
    <mergeCell ref="E3:E4"/>
    <mergeCell ref="BA3:BA4"/>
    <mergeCell ref="AT4:AU4"/>
    <mergeCell ref="AV4:AW4"/>
    <mergeCell ref="B1:F1"/>
    <mergeCell ref="G1:I1"/>
    <mergeCell ref="J1:K1"/>
    <mergeCell ref="AL1:AM1"/>
    <mergeCell ref="F3:AQ3"/>
    <mergeCell ref="F4:G4"/>
    <mergeCell ref="H4:I4"/>
    <mergeCell ref="J4:K4"/>
    <mergeCell ref="AL4:AM4"/>
    <mergeCell ref="AN4:AO4"/>
    <mergeCell ref="AP4:AQ4"/>
    <mergeCell ref="L4:M4"/>
    <mergeCell ref="N4:O4"/>
    <mergeCell ref="AR94:AS94"/>
    <mergeCell ref="AR3:AS4"/>
    <mergeCell ref="AT3:AW3"/>
    <mergeCell ref="AX3:AY4"/>
    <mergeCell ref="AZ3:AZ4"/>
    <mergeCell ref="P4:Q4"/>
    <mergeCell ref="R4:S4"/>
    <mergeCell ref="T4:U4"/>
    <mergeCell ref="V4:W4"/>
    <mergeCell ref="X4:Y4"/>
    <mergeCell ref="AJ4:AK4"/>
    <mergeCell ref="Z4:AA4"/>
    <mergeCell ref="AB4:AC4"/>
    <mergeCell ref="AD4:AE4"/>
    <mergeCell ref="AF4:AG4"/>
    <mergeCell ref="AH4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2026-01-17T18:47:56Z</dcterms:modified>
</cp:coreProperties>
</file>